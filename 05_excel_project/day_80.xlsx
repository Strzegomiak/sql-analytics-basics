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jakubowski\Desktop\"/>
    </mc:Choice>
  </mc:AlternateContent>
  <xr:revisionPtr revIDLastSave="0" documentId="13_ncr:1_{B1565356-53F0-41E3-84E3-4121ED1FC28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Sheet1!$A$27:$E$37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D29" i="1"/>
  <c r="C29" i="1"/>
  <c r="D26" i="1"/>
  <c r="C26" i="1"/>
  <c r="D17" i="1"/>
  <c r="D18" i="1"/>
  <c r="D19" i="1"/>
  <c r="D20" i="1"/>
  <c r="D21" i="1"/>
  <c r="D22" i="1"/>
  <c r="D16" i="1"/>
  <c r="C17" i="1"/>
  <c r="C18" i="1"/>
  <c r="C19" i="1"/>
  <c r="C20" i="1"/>
  <c r="C21" i="1"/>
  <c r="C22" i="1"/>
  <c r="C16" i="1"/>
  <c r="B16" i="1"/>
  <c r="B16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<sst xmlns="http://schemas.openxmlformats.org/spreadsheetml/2006/main" count="22" uniqueCount="15">
  <si>
    <t>transaction_id</t>
  </si>
  <si>
    <t>customer_id</t>
  </si>
  <si>
    <t>product</t>
  </si>
  <si>
    <t>amount</t>
  </si>
  <si>
    <t>transaction_date</t>
  </si>
  <si>
    <t>Laptop</t>
  </si>
  <si>
    <t>Keyboard</t>
  </si>
  <si>
    <t>Monitor</t>
  </si>
  <si>
    <t>Mouse</t>
  </si>
  <si>
    <t>segment</t>
  </si>
  <si>
    <t>revenue</t>
  </si>
  <si>
    <t>high number</t>
  </si>
  <si>
    <t>low number</t>
  </si>
  <si>
    <t>suma revenue dla High</t>
  </si>
  <si>
    <t>suma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</si>
</sst>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C31" sqref="C31"/>
    </sheetView>
  </sheetViews>
  <sheetFormatPr defaultRowHeight="15" x14ac:dyDescent="0.25"/>
  <cols>
    <col min="1" max="5" width="23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101</v>
      </c>
      <c r="C2" s="2" t="s">
        <v>5</v>
      </c>
      <c r="D2" s="2">
        <v>3500</v>
      </c>
      <c r="E2" s="3">
        <v>45293</v>
      </c>
    </row>
    <row r="3" spans="1:5" x14ac:dyDescent="0.25">
      <c r="A3" s="2">
        <v>2</v>
      </c>
      <c r="B3" s="2">
        <v>102</v>
      </c>
      <c r="C3" s="2" t="s">
        <v>8</v>
      </c>
      <c r="D3" s="2">
        <v>80</v>
      </c>
      <c r="E3" s="3">
        <v>45294</v>
      </c>
    </row>
    <row r="4" spans="1:5" x14ac:dyDescent="0.25">
      <c r="A4" s="2">
        <v>3</v>
      </c>
      <c r="B4" s="2">
        <v>101</v>
      </c>
      <c r="C4" s="2" t="s">
        <v>6</v>
      </c>
      <c r="D4" s="2">
        <v>200</v>
      </c>
      <c r="E4" s="3">
        <v>45296</v>
      </c>
    </row>
    <row r="5" spans="1:5" x14ac:dyDescent="0.25">
      <c r="A5" s="2">
        <v>4</v>
      </c>
      <c r="B5" s="2">
        <v>103</v>
      </c>
      <c r="C5" s="2" t="s">
        <v>5</v>
      </c>
      <c r="D5" s="2">
        <v>3600</v>
      </c>
      <c r="E5" s="3">
        <v>45301</v>
      </c>
    </row>
    <row r="6" spans="1:5" x14ac:dyDescent="0.25">
      <c r="A6" s="2">
        <v>5</v>
      </c>
      <c r="B6" s="2">
        <v>104</v>
      </c>
      <c r="C6" s="2" t="s">
        <v>7</v>
      </c>
      <c r="D6" s="2">
        <v>900</v>
      </c>
      <c r="E6" s="3">
        <v>45302</v>
      </c>
    </row>
    <row r="7" spans="1:5" x14ac:dyDescent="0.25">
      <c r="A7" s="2">
        <v>6</v>
      </c>
      <c r="B7" s="2">
        <v>102</v>
      </c>
      <c r="C7" s="2" t="s">
        <v>5</v>
      </c>
      <c r="D7" s="2">
        <v>3400</v>
      </c>
      <c r="E7" s="3">
        <v>45306</v>
      </c>
    </row>
    <row r="8" spans="1:5" x14ac:dyDescent="0.25">
      <c r="A8" s="2">
        <v>7</v>
      </c>
      <c r="B8" s="2">
        <v>105</v>
      </c>
      <c r="C8" s="2" t="s">
        <v>8</v>
      </c>
      <c r="D8" s="2">
        <v>70</v>
      </c>
      <c r="E8" s="3">
        <v>45308</v>
      </c>
    </row>
    <row r="9" spans="1:5" x14ac:dyDescent="0.25">
      <c r="A9" s="2">
        <v>8</v>
      </c>
      <c r="B9" s="2">
        <v>101</v>
      </c>
      <c r="C9" s="2" t="s">
        <v>7</v>
      </c>
      <c r="D9" s="2">
        <v>850</v>
      </c>
      <c r="E9" s="3">
        <v>45311</v>
      </c>
    </row>
    <row r="10" spans="1:5" x14ac:dyDescent="0.25">
      <c r="A10" s="2">
        <v>9</v>
      </c>
      <c r="B10" s="2">
        <v>106</v>
      </c>
      <c r="C10" s="2" t="s">
        <v>5</v>
      </c>
      <c r="D10" s="2">
        <v>0</v>
      </c>
      <c r="E10" s="3">
        <v>45313</v>
      </c>
    </row>
    <row r="11" spans="1:5" x14ac:dyDescent="0.25">
      <c r="A11" s="2">
        <v>10</v>
      </c>
      <c r="B11" s="2">
        <v>107</v>
      </c>
      <c r="C11" s="2" t="s">
        <v>8</v>
      </c>
      <c r="D11" s="2">
        <v>-50</v>
      </c>
      <c r="E11" s="3">
        <v>45314</v>
      </c>
    </row>
    <row r="12" spans="1:5" x14ac:dyDescent="0.25">
      <c r="A12" s="2"/>
      <c r="B12" s="2"/>
      <c r="C12" s="2"/>
      <c r="D12" s="2"/>
      <c r="E12" s="3"/>
    </row>
    <row r="15" spans="1:5" x14ac:dyDescent="0.25">
      <c r="B15" s="1" t="s">
        <v>1</v>
      </c>
      <c r="C15" s="6" t="s">
        <v>10</v>
      </c>
      <c r="D15" s="6" t="s">
        <v>9</v>
      </c>
    </row>
    <row r="16" spans="1:5" x14ac:dyDescent="0.25">
      <c r="B16" cm="1">
        <f t="array" ref="B16:B22">_xlfn.UNIQUE(B2:B11)</f>
        <v>101</v>
      </c>
      <c r="C16">
        <f>SUMIF($B$2:$B$11,B16,$D$2:$D$11)</f>
        <v>4550</v>
      </c>
      <c r="D16" t="str">
        <f>IF(C16&gt;3000,"high","low")</f>
        <v>high</v>
      </c>
    </row>
    <row r="17" spans="1:5" x14ac:dyDescent="0.25">
      <c r="B17">
        <v>102</v>
      </c>
      <c r="C17">
        <f>SUMIF($B$2:$B$11,B17,$D$2:$D$11)</f>
        <v>3480</v>
      </c>
      <c r="D17" t="str">
        <f t="shared" ref="D17:D22" si="0">IF(C17&gt;3000,"high","low")</f>
        <v>high</v>
      </c>
    </row>
    <row r="18" spans="1:5" x14ac:dyDescent="0.25">
      <c r="B18">
        <v>103</v>
      </c>
      <c r="C18">
        <f>SUMIF($B$2:$B$11,B18,$D$2:$D$11)</f>
        <v>3600</v>
      </c>
      <c r="D18" t="str">
        <f t="shared" si="0"/>
        <v>high</v>
      </c>
    </row>
    <row r="19" spans="1:5" x14ac:dyDescent="0.25">
      <c r="B19">
        <v>104</v>
      </c>
      <c r="C19">
        <f>SUMIF($B$2:$B$11,B19,$D$2:$D$11)</f>
        <v>900</v>
      </c>
      <c r="D19" t="str">
        <f t="shared" si="0"/>
        <v>low</v>
      </c>
    </row>
    <row r="20" spans="1:5" x14ac:dyDescent="0.25">
      <c r="B20">
        <v>105</v>
      </c>
      <c r="C20">
        <f>SUMIF($B$2:$B$11,B20,$D$2:$D$11)</f>
        <v>70</v>
      </c>
      <c r="D20" t="str">
        <f t="shared" si="0"/>
        <v>low</v>
      </c>
    </row>
    <row r="21" spans="1:5" x14ac:dyDescent="0.25">
      <c r="B21">
        <v>106</v>
      </c>
      <c r="C21">
        <f>SUMIF($B$2:$B$11,B21,$D$2:$D$11)</f>
        <v>0</v>
      </c>
      <c r="D21" t="str">
        <f t="shared" si="0"/>
        <v>low</v>
      </c>
    </row>
    <row r="22" spans="1:5" x14ac:dyDescent="0.25">
      <c r="B22">
        <v>107</v>
      </c>
      <c r="C22">
        <f>SUMIF($B$2:$B$11,B22,$D$2:$D$11)</f>
        <v>-50</v>
      </c>
      <c r="D22" t="str">
        <f t="shared" si="0"/>
        <v>low</v>
      </c>
    </row>
    <row r="25" spans="1:5" x14ac:dyDescent="0.25">
      <c r="C25" t="s">
        <v>11</v>
      </c>
      <c r="D25" t="s">
        <v>12</v>
      </c>
    </row>
    <row r="26" spans="1:5" x14ac:dyDescent="0.25">
      <c r="C26">
        <f>COUNTIF(D16:D22,"high")</f>
        <v>3</v>
      </c>
      <c r="D26">
        <f>COUNTIF(D16:D22,"low")</f>
        <v>4</v>
      </c>
    </row>
    <row r="27" spans="1:5" x14ac:dyDescent="0.25">
      <c r="A27" s="1"/>
      <c r="B27" s="1"/>
      <c r="C27" s="1"/>
      <c r="E27" s="1"/>
    </row>
    <row r="28" spans="1:5" x14ac:dyDescent="0.25">
      <c r="A28" s="4"/>
      <c r="B28" s="4"/>
      <c r="C28" t="s">
        <v>13</v>
      </c>
      <c r="D28" t="s">
        <v>14</v>
      </c>
      <c r="E28" s="5"/>
    </row>
    <row r="29" spans="1:5" x14ac:dyDescent="0.25">
      <c r="A29" s="4"/>
      <c r="B29" s="4"/>
      <c r="C29" s="4">
        <f>SUMIF(D16:D22,D16,C16:C22)</f>
        <v>11630</v>
      </c>
      <c r="D29">
        <f>SUM(C16:C22)</f>
        <v>12550</v>
      </c>
      <c r="E29" s="5"/>
    </row>
    <row r="30" spans="1:5" x14ac:dyDescent="0.25">
      <c r="A30" s="4"/>
      <c r="B30" s="4"/>
      <c r="C30" s="4"/>
      <c r="E30" s="5"/>
    </row>
    <row r="31" spans="1:5" x14ac:dyDescent="0.25">
      <c r="A31" s="4"/>
      <c r="B31" s="4"/>
      <c r="C31" s="4">
        <f>C29 /D29 *100</f>
        <v>92.669322709163353</v>
      </c>
      <c r="D31" s="1"/>
      <c r="E31" s="5"/>
    </row>
    <row r="32" spans="1:5" x14ac:dyDescent="0.25">
      <c r="A32" s="4"/>
      <c r="B32" s="4"/>
      <c r="C32" s="4"/>
      <c r="D32" s="4"/>
      <c r="E32" s="5"/>
    </row>
    <row r="33" spans="1:5" x14ac:dyDescent="0.25">
      <c r="A33" s="4"/>
      <c r="B33" s="4"/>
      <c r="C33" s="4"/>
      <c r="D33" s="4"/>
      <c r="E33" s="5"/>
    </row>
    <row r="34" spans="1:5" x14ac:dyDescent="0.25">
      <c r="A34" s="4"/>
      <c r="B34" s="4"/>
      <c r="C34" s="4"/>
      <c r="D34" s="4"/>
      <c r="E34" s="5"/>
    </row>
    <row r="35" spans="1:5" x14ac:dyDescent="0.25">
      <c r="A35" s="4"/>
      <c r="B35" s="4"/>
      <c r="C35" s="4"/>
      <c r="D35" s="4"/>
      <c r="E35" s="5"/>
    </row>
    <row r="36" spans="1:5" x14ac:dyDescent="0.25">
      <c r="A36" s="4"/>
      <c r="B36" s="4"/>
      <c r="C36" s="4"/>
      <c r="D36" s="4"/>
      <c r="E36" s="5"/>
    </row>
    <row r="37" spans="1:5" x14ac:dyDescent="0.25">
      <c r="A37" s="4"/>
      <c r="B37" s="4"/>
      <c r="C37" s="4"/>
      <c r="D37" s="4"/>
      <c r="E37" s="5"/>
    </row>
    <row r="38" spans="1:5" x14ac:dyDescent="0.25">
      <c r="D38" s="4"/>
    </row>
    <row r="39" spans="1:5" x14ac:dyDescent="0.25">
      <c r="D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Jakubowski</dc:creator>
  <cp:lastModifiedBy>Łukasz Jakubowski</cp:lastModifiedBy>
  <dcterms:created xsi:type="dcterms:W3CDTF">2015-06-05T18:17:20Z</dcterms:created>
  <dcterms:modified xsi:type="dcterms:W3CDTF">2026-03-20T10:38:34Z</dcterms:modified>
</cp:coreProperties>
</file>