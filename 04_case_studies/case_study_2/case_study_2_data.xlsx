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ghedupl-my.sharepoint.com/personal/paterekm_student_agh_edu_pl/Documents/Pulpit/Lukasz/case_study_2/"/>
    </mc:Choice>
  </mc:AlternateContent>
  <xr:revisionPtr revIDLastSave="89" documentId="11_AD4DADEC636C813AC809E406B05E40065BDEDD83" xr6:coauthVersionLast="47" xr6:coauthVersionMax="47" xr10:uidLastSave="{D008795D-3B3C-4B7C-B5F4-D40927602EF1}"/>
  <bookViews>
    <workbookView xWindow="-120" yWindow="-16320" windowWidth="29040" windowHeight="15720" activeTab="2" xr2:uid="{00000000-000D-0000-FFFF-FFFF00000000}"/>
  </bookViews>
  <sheets>
    <sheet name="Sheet3" sheetId="5" r:id="rId1"/>
    <sheet name="Sheet4" sheetId="6" r:id="rId2"/>
    <sheet name="case_study_2_data" sheetId="2" r:id="rId3"/>
    <sheet name="Arkusz1" sheetId="1" r:id="rId4"/>
  </sheets>
  <definedNames>
    <definedName name="_xlcn.WorksheetConnection_case_study_2_data.xlsxcase_study_2_data1" hidden="1">case_study_2_data[]</definedName>
    <definedName name="ExternalData_1" localSheetId="2" hidden="1">'case_study_2_data'!$A$1:$I$69</definedName>
  </definedNames>
  <calcPr calcId="191029"/>
  <pivotCaches>
    <pivotCache cacheId="36" r:id="rId5"/>
    <pivotCache cacheId="6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se_study_2_data" name="case_study_2_data" connection="WorksheetConnection_case_study_2_data.xlsx!case_study_2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G72" i="2"/>
  <c r="G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321901-9520-4E87-8142-76494D749E7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7C3EC87-F91D-41DB-94D7-A817360F2E0C}" name="WorksheetConnection_case_study_2_data.xlsx!case_study_2_data" type="102" refreshedVersion="8" minRefreshableVersion="5">
    <extLst>
      <ext xmlns:x15="http://schemas.microsoft.com/office/spreadsheetml/2010/11/main" uri="{DE250136-89BD-433C-8126-D09CA5730AF9}">
        <x15:connection id="case_study_2_data" autoDelete="1">
          <x15:rangePr sourceName="_xlcn.WorksheetConnection_case_study_2_data.xlsxcase_study_2_data1"/>
        </x15:connection>
      </ext>
    </extLst>
  </connection>
  <connection id="3" xr16:uid="{8EC78F56-A2BD-4F95-9466-06D468B7C844}" keepAlive="1" name="Zapytanie — case_study_2_data" description="Połączenie z zapytaniem „case_study_2_data” w skoroszycie." type="5" refreshedVersion="8" background="1" saveData="1">
    <dbPr connection="Provider=Microsoft.Mashup.OleDb.1;Data Source=$Workbook$;Location=case_study_2_data;Extended Properties=&quot;&quot;" command="SELECT * FROM [case_study_2_data]"/>
  </connection>
</connections>
</file>

<file path=xl/sharedStrings.xml><?xml version="1.0" encoding="utf-8"?>
<sst xmlns="http://schemas.openxmlformats.org/spreadsheetml/2006/main" count="172" uniqueCount="32">
  <si>
    <t>order_id</t>
  </si>
  <si>
    <t>customer_id</t>
  </si>
  <si>
    <t>order_date</t>
  </si>
  <si>
    <t>category</t>
  </si>
  <si>
    <t>amount</t>
  </si>
  <si>
    <t>status</t>
  </si>
  <si>
    <t>electronics</t>
  </si>
  <si>
    <t>completed</t>
  </si>
  <si>
    <t>fashion</t>
  </si>
  <si>
    <t>home</t>
  </si>
  <si>
    <t>beauty</t>
  </si>
  <si>
    <t>month</t>
  </si>
  <si>
    <t>year</t>
  </si>
  <si>
    <t>Row Labels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</si>
  <si>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</si>
  <si>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</si>
  <si>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</si>
  <si>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</si>
  <si>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</si>
  <si>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</si>
  <si>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</si>
  <si>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</si>
  <si>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</si>
  <si>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</si>
  <si>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</si>
  <si>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</si>
  <si>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</si>
  <si>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Count of order_id</t>
  </si>
  <si>
    <t>Sum of amount</t>
  </si>
  <si>
    <t>Average of amount2</t>
  </si>
  <si>
    <t>Distinct Count of customer_id</t>
  </si>
  <si>
    <t>customer_segment_hint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</si>
</sst>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yl" refreshedDate="46112.616887037038" backgroundQuery="1" createdVersion="8" refreshedVersion="8" minRefreshableVersion="3" recordCount="0" supportSubquery="1" supportAdvancedDrill="1" xr:uid="{0D3CF394-88CD-4C3B-864D-E5CA827BA708}">
  <cacheSource type="external" connectionId="1"/>
  <cacheFields count="5">
    <cacheField name="[case_study_2_data].[month].[month]" caption="month" numFmtId="0" hierarchy="4" level="1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[Measures].[Count of order_id]" caption="Count of order_id" numFmtId="0" hierarchy="11" level="32767"/>
    <cacheField name="[Measures].[Distinct Count of customer_id]" caption="Distinct Count of customer_id" numFmtId="0" hierarchy="13" level="32767"/>
    <cacheField name="[Measures].[Sum of amount]" caption="Sum of amount" numFmtId="0" hierarchy="14" level="32767"/>
    <cacheField name="[Measures].[Average of amount]" caption="Average of amount" numFmtId="0" hierarchy="15" level="32767"/>
  </cacheFields>
  <cacheHierarchies count="16">
    <cacheHierarchy uniqueName="[case_study_2_data].[order_id]" caption="order_id" attribute="1" defaultMemberUniqueName="[case_study_2_data].[order_id].[All]" allUniqueName="[case_study_2_data].[order_id].[All]" dimensionUniqueName="[case_study_2_data]" displayFolder="" count="0" memberValueDatatype="20" unbalanced="0"/>
    <cacheHierarchy uniqueName="[case_study_2_data].[customer_id]" caption="customer_id" attribute="1" defaultMemberUniqueName="[case_study_2_data].[customer_id].[All]" allUniqueName="[case_study_2_data].[customer_id].[All]" dimensionUniqueName="[case_study_2_data]" displayFolder="" count="0" memberValueDatatype="20" unbalanced="0"/>
    <cacheHierarchy uniqueName="[case_study_2_data].[order_date]" caption="order_date" attribute="1" time="1" defaultMemberUniqueName="[case_study_2_data].[order_date].[All]" allUniqueName="[case_study_2_data].[order_date].[All]" dimensionUniqueName="[case_study_2_data]" displayFolder="" count="0" memberValueDatatype="7" unbalanced="0"/>
    <cacheHierarchy uniqueName="[case_study_2_data].[year]" caption="year" attribute="1" defaultMemberUniqueName="[case_study_2_data].[year].[All]" allUniqueName="[case_study_2_data].[year].[All]" dimensionUniqueName="[case_study_2_data]" displayFolder="" count="0" memberValueDatatype="20" unbalanced="0"/>
    <cacheHierarchy uniqueName="[case_study_2_data].[month]" caption="month" attribute="1" defaultMemberUniqueName="[case_study_2_data].[month].[All]" allUniqueName="[case_study_2_data].[month].[All]" dimensionUniqueName="[case_study_2_data]" displayFolder="" count="2" memberValueDatatype="130" unbalanced="0">
      <fieldsUsage count="2">
        <fieldUsage x="-1"/>
        <fieldUsage x="0"/>
      </fieldsUsage>
    </cacheHierarchy>
    <cacheHierarchy uniqueName="[case_study_2_data].[category]" caption="category" attribute="1" defaultMemberUniqueName="[case_study_2_data].[category].[All]" allUniqueName="[case_study_2_data].[category].[All]" dimensionUniqueName="[case_study_2_data]" displayFolder="" count="0" memberValueDatatype="130" unbalanced="0"/>
    <cacheHierarchy uniqueName="[case_study_2_data].[amount]" caption="amount" attribute="1" defaultMemberUniqueName="[case_study_2_data].[amount].[All]" allUniqueName="[case_study_2_data].[amount].[All]" dimensionUniqueName="[case_study_2_data]" displayFolder="" count="0" memberValueDatatype="20" unbalanced="0"/>
    <cacheHierarchy uniqueName="[case_study_2_data].[status]" caption="status" attribute="1" defaultMemberUniqueName="[case_study_2_data].[status].[All]" allUniqueName="[case_study_2_data].[status].[All]" dimensionUniqueName="[case_study_2_data]" displayFolder="" count="0" memberValueDatatype="130" unbalanced="0"/>
    <cacheHierarchy uniqueName="[Measures].[__XL_Count case_study_2_data]" caption="__XL_Count case_study_2_data" measure="1" displayFolder="" measureGroup="case_study_2_data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case_study_2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case_study_2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case_study_2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_id]" caption="Distinct Count of customer_id" measure="1" displayFolder="" measureGroup="case_study_2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mount]" caption="Sum of amount" measure="1" displayFolder="" measureGroup="case_study_2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mount]" caption="Average of amount" measure="1" displayFolder="" measureGroup="case_study_2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case_study_2_data" uniqueName="[case_study_2_data]" caption="case_study_2_data"/>
    <dimension measure="1" name="Measures" uniqueName="[Measures]" caption="Measures"/>
  </dimensions>
  <measureGroups count="1">
    <measureGroup name="case_study_2_data" caption="case_study_2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yl" refreshedDate="46112.630522569445" backgroundQuery="1" createdVersion="8" refreshedVersion="8" minRefreshableVersion="3" recordCount="0" supportSubquery="1" supportAdvancedDrill="1" xr:uid="{01013F03-FA39-4B72-A0D2-751D1810AE34}">
  <cacheSource type="external" connectionId="1"/>
  <cacheFields count="4">
    <cacheField name="[case_study_2_data].[category].[category]" caption="category" numFmtId="0" hierarchy="5" level="1">
      <sharedItems count="4">
        <s v="beauty"/>
        <s v="electronics"/>
        <s v="fashion"/>
        <s v="home"/>
      </sharedItems>
    </cacheField>
    <cacheField name="[Measures].[Sum of amount]" caption="Sum of amount" numFmtId="0" hierarchy="14" level="32767"/>
    <cacheField name="[Measures].[Average of amount]" caption="Average of amount" numFmtId="0" hierarchy="15" level="32767"/>
    <cacheField name="[Measures].[Count of order_id]" caption="Count of order_id" numFmtId="0" hierarchy="11" level="32767"/>
  </cacheFields>
  <cacheHierarchies count="16">
    <cacheHierarchy uniqueName="[case_study_2_data].[order_id]" caption="order_id" attribute="1" defaultMemberUniqueName="[case_study_2_data].[order_id].[All]" allUniqueName="[case_study_2_data].[order_id].[All]" dimensionUniqueName="[case_study_2_data]" displayFolder="" count="0" memberValueDatatype="20" unbalanced="0"/>
    <cacheHierarchy uniqueName="[case_study_2_data].[customer_id]" caption="customer_id" attribute="1" defaultMemberUniqueName="[case_study_2_data].[customer_id].[All]" allUniqueName="[case_study_2_data].[customer_id].[All]" dimensionUniqueName="[case_study_2_data]" displayFolder="" count="0" memberValueDatatype="20" unbalanced="0"/>
    <cacheHierarchy uniqueName="[case_study_2_data].[order_date]" caption="order_date" attribute="1" time="1" defaultMemberUniqueName="[case_study_2_data].[order_date].[All]" allUniqueName="[case_study_2_data].[order_date].[All]" dimensionUniqueName="[case_study_2_data]" displayFolder="" count="0" memberValueDatatype="7" unbalanced="0"/>
    <cacheHierarchy uniqueName="[case_study_2_data].[year]" caption="year" attribute="1" defaultMemberUniqueName="[case_study_2_data].[year].[All]" allUniqueName="[case_study_2_data].[year].[All]" dimensionUniqueName="[case_study_2_data]" displayFolder="" count="0" memberValueDatatype="20" unbalanced="0"/>
    <cacheHierarchy uniqueName="[case_study_2_data].[month]" caption="month" attribute="1" defaultMemberUniqueName="[case_study_2_data].[month].[All]" allUniqueName="[case_study_2_data].[month].[All]" dimensionUniqueName="[case_study_2_data]" displayFolder="" count="0" memberValueDatatype="130" unbalanced="0"/>
    <cacheHierarchy uniqueName="[case_study_2_data].[category]" caption="category" attribute="1" defaultMemberUniqueName="[case_study_2_data].[category].[All]" allUniqueName="[case_study_2_data].[category].[All]" dimensionUniqueName="[case_study_2_data]" displayFolder="" count="2" memberValueDatatype="130" unbalanced="0">
      <fieldsUsage count="2">
        <fieldUsage x="-1"/>
        <fieldUsage x="0"/>
      </fieldsUsage>
    </cacheHierarchy>
    <cacheHierarchy uniqueName="[case_study_2_data].[amount]" caption="amount" attribute="1" defaultMemberUniqueName="[case_study_2_data].[amount].[All]" allUniqueName="[case_study_2_data].[amount].[All]" dimensionUniqueName="[case_study_2_data]" displayFolder="" count="0" memberValueDatatype="20" unbalanced="0"/>
    <cacheHierarchy uniqueName="[case_study_2_data].[status]" caption="status" attribute="1" defaultMemberUniqueName="[case_study_2_data].[status].[All]" allUniqueName="[case_study_2_data].[status].[All]" dimensionUniqueName="[case_study_2_data]" displayFolder="" count="0" memberValueDatatype="130" unbalanced="0"/>
    <cacheHierarchy uniqueName="[Measures].[__XL_Count case_study_2_data]" caption="__XL_Count case_study_2_data" measure="1" displayFolder="" measureGroup="case_study_2_data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case_study_2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case_study_2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]" caption="Sum of customer_id" measure="1" displayFolder="" measureGroup="case_study_2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_id]" caption="Distinct Count of customer_id" measure="1" displayFolder="" measureGroup="case_study_2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mount]" caption="Sum of amount" measure="1" displayFolder="" measureGroup="case_study_2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mount]" caption="Average of amount" measure="1" displayFolder="" measureGroup="case_study_2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case_study_2_data" uniqueName="[case_study_2_data]" caption="case_study_2_data"/>
    <dimension measure="1" name="Measures" uniqueName="[Measures]" caption="Measures"/>
  </dimensions>
  <measureGroups count="1">
    <measureGroup name="case_study_2_data" caption="case_study_2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AD0B9-07B9-4BDA-A3ED-1FC60822661F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1" subtotal="count" baseField="0" baseItem="0"/>
    <dataField name="Distinct Count of custom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amount" fld="3" baseField="0" baseItem="0"/>
    <dataField name="Average of amount2" fld="4" subtotal="average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order_id"/>
    <pivotHierarchy dragToData="1"/>
    <pivotHierarchy dragToData="1" caption="Distinct Count of customer_id"/>
    <pivotHierarchy dragToData="1"/>
    <pivotHierarchy dragToData="1" caption="Average of amount2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_study_2_data.xlsx!case_study_2_data">
        <x15:activeTabTopLevelEntity name="[case_study_2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1F8C8-BD63-455B-8E3E-0845A6F78846}" name="PivotTable4" cacheId="6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8" firstHeaderRow="0" firstDataRow="1" firstDataCol="1"/>
  <pivotFields count="4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/>
    <dataField name="Average of amount2" fld="2" subtotal="average" baseField="0" baseItem="0"/>
    <dataField name="Count of order_id" fld="3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order_id"/>
    <pivotHierarchy dragToData="1"/>
    <pivotHierarchy dragToData="1"/>
    <pivotHierarchy dragToData="1"/>
    <pivotHierarchy dragToData="1" caption="Average of amount2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_study_2_data.xlsx!case_study_2_data">
        <x15:activeTabTopLevelEntity name="[case_study_2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D5B810-7F9A-45F7-8F1B-972DEA0EEFDA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id" tableColumnId="2"/>
      <queryTableField id="3" name="order_date" tableColumnId="3"/>
      <queryTableField id="8" dataBound="0" tableColumnId="7"/>
      <queryTableField id="7" dataBound="0" tableColumnId="8"/>
      <queryTableField id="4" name="category" tableColumnId="4"/>
      <queryTableField id="5" name="amount" tableColumnId="5"/>
      <queryTableField id="9" dataBound="0" tableColumnId="9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2DEAB-66CB-4A7B-8A1D-B4452C5D07AF}" name="case_study_2_data" displayName="case_study_2_data" ref="A1:I69" tableType="queryTable" totalsRowShown="0">
  <autoFilter ref="A1:I69" xr:uid="{E332DEAB-66CB-4A7B-8A1D-B4452C5D07AF}"/>
  <tableColumns count="9">
    <tableColumn id="1" xr3:uid="{06699BA3-FBD4-49C5-9A53-440AE9CF9D99}" uniqueName="1" name="order_id" queryTableFieldId="1"/>
    <tableColumn id="2" xr3:uid="{62CEBDA8-BFBE-497A-AE27-3F4A222F3B15}" uniqueName="2" name="customer_id" queryTableFieldId="2"/>
    <tableColumn id="3" xr3:uid="{4435AC12-8551-4AC1-B177-0DA9C0A7C0BA}" uniqueName="3" name="order_date" queryTableFieldId="3" dataDxfId="6"/>
    <tableColumn id="7" xr3:uid="{E2755182-50BB-4DEB-AA49-905C811EDA5A}" uniqueName="7" name="year" queryTableFieldId="8" dataDxfId="5">
      <calculatedColumnFormula>YEAR(case_study_2_data[[#This Row],[order_date]])</calculatedColumnFormula>
    </tableColumn>
    <tableColumn id="8" xr3:uid="{C86EBDDF-0890-4713-BB00-52E5B49F1A15}" uniqueName="8" name="month" queryTableFieldId="7" dataDxfId="4">
      <calculatedColumnFormula>TEXT(case_study_2_data[[#This Row],[order_date]],"rrrr-mm")</calculatedColumnFormula>
    </tableColumn>
    <tableColumn id="4" xr3:uid="{489F0288-DC2D-4B53-8E18-EF98913D1870}" uniqueName="4" name="category" queryTableFieldId="4" dataDxfId="3"/>
    <tableColumn id="5" xr3:uid="{5FCDA093-5EC9-449D-A557-C858733B0C16}" uniqueName="5" name="amount" queryTableFieldId="5" dataDxfId="1"/>
    <tableColumn id="9" xr3:uid="{9573DA2D-B9A2-4CC0-B914-F81A3602BD3E}" uniqueName="9" name="customer_segment_hint" queryTableFieldId="9" dataDxfId="0">
      <calculatedColumnFormula>IF(case_study_2_data[[#This Row],[amount]]&gt;=2000,"high_value_order",
 IF(case_study_2_data[[#This Row],[amount]]&gt;=500,"mid_value_order",
 "low_value_order"))</calculatedColumnFormula>
    </tableColumn>
    <tableColumn id="6" xr3:uid="{3B9A6AED-59A6-4081-B49B-823C309194B1}" uniqueName="6" name="status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7552-4FD1-4867-812A-6E21AE3AA828}">
  <dimension ref="A3:E16"/>
  <sheetViews>
    <sheetView workbookViewId="0">
      <selection activeCell="B24" sqref="B24"/>
    </sheetView>
  </sheetViews>
  <sheetFormatPr defaultRowHeight="14.5" x14ac:dyDescent="0.35"/>
  <cols>
    <col min="1" max="1" width="12.6328125" bestFit="1" customWidth="1"/>
    <col min="2" max="2" width="15.90625" bestFit="1" customWidth="1"/>
    <col min="3" max="3" width="26.453125" bestFit="1" customWidth="1"/>
    <col min="4" max="4" width="13.90625" bestFit="1" customWidth="1"/>
    <col min="5" max="5" width="18.26953125" bestFit="1" customWidth="1"/>
  </cols>
  <sheetData>
    <row r="3" spans="1:5" x14ac:dyDescent="0.35">
      <c r="A3" s="5" t="s">
        <v>13</v>
      </c>
      <c r="B3" t="s">
        <v>27</v>
      </c>
      <c r="C3" t="s">
        <v>30</v>
      </c>
      <c r="D3" t="s">
        <v>28</v>
      </c>
      <c r="E3" t="s">
        <v>29</v>
      </c>
    </row>
    <row r="4" spans="1:5" x14ac:dyDescent="0.35">
      <c r="A4" s="6" t="s">
        <v>14</v>
      </c>
      <c r="B4" s="2">
        <v>7</v>
      </c>
      <c r="C4" s="2">
        <v>7</v>
      </c>
      <c r="D4" s="2">
        <v>3740</v>
      </c>
      <c r="E4" s="2">
        <v>534.28571428571433</v>
      </c>
    </row>
    <row r="5" spans="1:5" x14ac:dyDescent="0.35">
      <c r="A5" s="6" t="s">
        <v>15</v>
      </c>
      <c r="B5" s="2">
        <v>7</v>
      </c>
      <c r="C5" s="2">
        <v>7</v>
      </c>
      <c r="D5" s="2">
        <v>5270</v>
      </c>
      <c r="E5" s="2">
        <v>752.85714285714289</v>
      </c>
    </row>
    <row r="6" spans="1:5" x14ac:dyDescent="0.35">
      <c r="A6" s="6" t="s">
        <v>16</v>
      </c>
      <c r="B6" s="2">
        <v>6</v>
      </c>
      <c r="C6" s="2">
        <v>6</v>
      </c>
      <c r="D6" s="2">
        <v>5100</v>
      </c>
      <c r="E6" s="2">
        <v>850</v>
      </c>
    </row>
    <row r="7" spans="1:5" x14ac:dyDescent="0.35">
      <c r="A7" s="6" t="s">
        <v>17</v>
      </c>
      <c r="B7" s="2">
        <v>6</v>
      </c>
      <c r="C7" s="2">
        <v>6</v>
      </c>
      <c r="D7" s="2">
        <v>4890</v>
      </c>
      <c r="E7" s="2">
        <v>815</v>
      </c>
    </row>
    <row r="8" spans="1:5" x14ac:dyDescent="0.35">
      <c r="A8" s="6" t="s">
        <v>18</v>
      </c>
      <c r="B8" s="2">
        <v>6</v>
      </c>
      <c r="C8" s="2">
        <v>6</v>
      </c>
      <c r="D8" s="2">
        <v>5690</v>
      </c>
      <c r="E8" s="2">
        <v>948.33333333333337</v>
      </c>
    </row>
    <row r="9" spans="1:5" x14ac:dyDescent="0.35">
      <c r="A9" s="6" t="s">
        <v>19</v>
      </c>
      <c r="B9" s="2">
        <v>6</v>
      </c>
      <c r="C9" s="2">
        <v>6</v>
      </c>
      <c r="D9" s="2">
        <v>4510</v>
      </c>
      <c r="E9" s="2">
        <v>751.66666666666663</v>
      </c>
    </row>
    <row r="10" spans="1:5" x14ac:dyDescent="0.35">
      <c r="A10" s="6" t="s">
        <v>20</v>
      </c>
      <c r="B10" s="2">
        <v>6</v>
      </c>
      <c r="C10" s="2">
        <v>6</v>
      </c>
      <c r="D10" s="2">
        <v>4230</v>
      </c>
      <c r="E10" s="2">
        <v>705</v>
      </c>
    </row>
    <row r="11" spans="1:5" x14ac:dyDescent="0.35">
      <c r="A11" s="6" t="s">
        <v>21</v>
      </c>
      <c r="B11" s="2">
        <v>5</v>
      </c>
      <c r="C11" s="2">
        <v>5</v>
      </c>
      <c r="D11" s="2">
        <v>5550</v>
      </c>
      <c r="E11" s="2">
        <v>1110</v>
      </c>
    </row>
    <row r="12" spans="1:5" x14ac:dyDescent="0.35">
      <c r="A12" s="6" t="s">
        <v>22</v>
      </c>
      <c r="B12" s="2">
        <v>5</v>
      </c>
      <c r="C12" s="2">
        <v>5</v>
      </c>
      <c r="D12" s="2">
        <v>3740</v>
      </c>
      <c r="E12" s="2">
        <v>748</v>
      </c>
    </row>
    <row r="13" spans="1:5" x14ac:dyDescent="0.35">
      <c r="A13" s="6" t="s">
        <v>23</v>
      </c>
      <c r="B13" s="2">
        <v>5</v>
      </c>
      <c r="C13" s="2">
        <v>5</v>
      </c>
      <c r="D13" s="2">
        <v>5420</v>
      </c>
      <c r="E13" s="2">
        <v>1084</v>
      </c>
    </row>
    <row r="14" spans="1:5" x14ac:dyDescent="0.35">
      <c r="A14" s="6" t="s">
        <v>24</v>
      </c>
      <c r="B14" s="2">
        <v>5</v>
      </c>
      <c r="C14" s="2">
        <v>5</v>
      </c>
      <c r="D14" s="2">
        <v>4360</v>
      </c>
      <c r="E14" s="2">
        <v>872</v>
      </c>
    </row>
    <row r="15" spans="1:5" x14ac:dyDescent="0.35">
      <c r="A15" s="6" t="s">
        <v>25</v>
      </c>
      <c r="B15" s="2">
        <v>4</v>
      </c>
      <c r="C15" s="2">
        <v>4</v>
      </c>
      <c r="D15" s="2">
        <v>4090</v>
      </c>
      <c r="E15" s="2">
        <v>1022.5</v>
      </c>
    </row>
    <row r="16" spans="1:5" x14ac:dyDescent="0.35">
      <c r="A16" s="6" t="s">
        <v>26</v>
      </c>
      <c r="B16" s="2">
        <v>68</v>
      </c>
      <c r="C16" s="2">
        <v>30</v>
      </c>
      <c r="D16" s="2">
        <v>56590</v>
      </c>
      <c r="E16" s="2">
        <v>832.20588235294122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2907-D6F7-46CB-96F1-FF11EC2A953D}">
  <dimension ref="A3:D8"/>
  <sheetViews>
    <sheetView workbookViewId="0">
      <selection activeCell="D7" sqref="D7"/>
    </sheetView>
  </sheetViews>
  <sheetFormatPr defaultRowHeight="14.5" x14ac:dyDescent="0.35"/>
  <cols>
    <col min="1" max="1" width="12.6328125" bestFit="1" customWidth="1"/>
    <col min="2" max="2" width="13.90625" bestFit="1" customWidth="1"/>
    <col min="3" max="3" width="18.26953125" bestFit="1" customWidth="1"/>
    <col min="4" max="4" width="15.90625" bestFit="1" customWidth="1"/>
  </cols>
  <sheetData>
    <row r="3" spans="1:4" x14ac:dyDescent="0.35">
      <c r="A3" s="5" t="s">
        <v>13</v>
      </c>
      <c r="B3" t="s">
        <v>28</v>
      </c>
      <c r="C3" t="s">
        <v>29</v>
      </c>
      <c r="D3" t="s">
        <v>27</v>
      </c>
    </row>
    <row r="4" spans="1:4" x14ac:dyDescent="0.35">
      <c r="A4" s="6" t="s">
        <v>6</v>
      </c>
      <c r="B4" s="2">
        <v>39330</v>
      </c>
      <c r="C4" s="2">
        <v>1966.5</v>
      </c>
      <c r="D4" s="2">
        <v>20</v>
      </c>
    </row>
    <row r="5" spans="1:4" x14ac:dyDescent="0.35">
      <c r="A5" s="6" t="s">
        <v>9</v>
      </c>
      <c r="B5" s="2">
        <v>10300</v>
      </c>
      <c r="C5" s="2">
        <v>572.22222222222217</v>
      </c>
      <c r="D5" s="2">
        <v>18</v>
      </c>
    </row>
    <row r="6" spans="1:4" x14ac:dyDescent="0.35">
      <c r="A6" s="6" t="s">
        <v>8</v>
      </c>
      <c r="B6" s="2">
        <v>5300</v>
      </c>
      <c r="C6" s="2">
        <v>294.44444444444446</v>
      </c>
      <c r="D6" s="2">
        <v>18</v>
      </c>
    </row>
    <row r="7" spans="1:4" x14ac:dyDescent="0.35">
      <c r="A7" s="6" t="s">
        <v>10</v>
      </c>
      <c r="B7" s="2">
        <v>1660</v>
      </c>
      <c r="C7" s="2">
        <v>138.33333333333334</v>
      </c>
      <c r="D7" s="2">
        <v>12</v>
      </c>
    </row>
    <row r="8" spans="1:4" x14ac:dyDescent="0.35">
      <c r="A8" s="6" t="s">
        <v>26</v>
      </c>
      <c r="B8" s="2">
        <v>56590</v>
      </c>
      <c r="C8" s="2">
        <v>832.20588235294122</v>
      </c>
      <c r="D8" s="2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BE13-3FB7-4C3D-9CE3-E9DD66099682}">
  <dimension ref="A1:I72"/>
  <sheetViews>
    <sheetView tabSelected="1" topLeftCell="A7" workbookViewId="0">
      <selection activeCell="H3" sqref="H3"/>
    </sheetView>
  </sheetViews>
  <sheetFormatPr defaultRowHeight="14.5" x14ac:dyDescent="0.35"/>
  <cols>
    <col min="1" max="1" width="10.453125" bestFit="1" customWidth="1"/>
    <col min="2" max="2" width="13.7265625" bestFit="1" customWidth="1"/>
    <col min="3" max="3" width="12.6328125" bestFit="1" customWidth="1"/>
    <col min="4" max="4" width="6.90625" style="2" bestFit="1" customWidth="1"/>
    <col min="5" max="5" width="8.81640625" bestFit="1" customWidth="1"/>
    <col min="6" max="6" width="10.453125" bestFit="1" customWidth="1"/>
    <col min="7" max="7" width="9.81640625" style="3" bestFit="1" customWidth="1"/>
    <col min="8" max="8" width="26.90625" style="3" customWidth="1"/>
    <col min="9" max="9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s="2" t="s">
        <v>12</v>
      </c>
      <c r="E1" t="s">
        <v>11</v>
      </c>
      <c r="F1" t="s">
        <v>3</v>
      </c>
      <c r="G1" s="3" t="s">
        <v>4</v>
      </c>
      <c r="H1" s="3" t="s">
        <v>31</v>
      </c>
      <c r="I1" t="s">
        <v>5</v>
      </c>
    </row>
    <row r="2" spans="1:9" x14ac:dyDescent="0.35">
      <c r="A2">
        <v>1</v>
      </c>
      <c r="B2">
        <v>1</v>
      </c>
      <c r="C2" s="1">
        <v>45660</v>
      </c>
      <c r="D2" s="2">
        <f>YEAR(case_study_2_data[[#This Row],[order_date]])</f>
        <v>2025</v>
      </c>
      <c r="E2" s="1" t="str">
        <f>TEXT(case_study_2_data[[#This Row],[order_date]],"rrrr-mm")</f>
        <v>2025-01</v>
      </c>
      <c r="F2" t="s">
        <v>6</v>
      </c>
      <c r="G2" s="4">
        <v>1200</v>
      </c>
      <c r="H2" s="4" t="str">
        <f>IF(case_study_2_data[[#This Row],[amount]]&gt;=2000,"high_value_order",
 IF(case_study_2_data[[#This Row],[amount]]&gt;=500,"mid_value_order",
 "low_value_order"))</f>
        <v>mid_value_order</v>
      </c>
      <c r="I2" t="s">
        <v>7</v>
      </c>
    </row>
    <row r="3" spans="1:9" x14ac:dyDescent="0.35">
      <c r="A3">
        <v>2</v>
      </c>
      <c r="B3">
        <v>2</v>
      </c>
      <c r="C3" s="1">
        <v>45662</v>
      </c>
      <c r="D3" s="2">
        <f>YEAR(case_study_2_data[[#This Row],[order_date]])</f>
        <v>2025</v>
      </c>
      <c r="E3" s="1" t="str">
        <f>TEXT(case_study_2_data[[#This Row],[order_date]],"rrrr-mm")</f>
        <v>2025-01</v>
      </c>
      <c r="F3" t="s">
        <v>8</v>
      </c>
      <c r="G3" s="4">
        <v>240</v>
      </c>
      <c r="H3" s="4" t="str">
        <f>IF(case_study_2_data[[#This Row],[amount]]&gt;=2000,"high_value_order",
 IF(case_study_2_data[[#This Row],[amount]]&gt;=500,"mid_value_order",
 "low_value_order"))</f>
        <v>low_value_order</v>
      </c>
      <c r="I3" t="s">
        <v>7</v>
      </c>
    </row>
    <row r="4" spans="1:9" x14ac:dyDescent="0.35">
      <c r="A4">
        <v>3</v>
      </c>
      <c r="B4">
        <v>3</v>
      </c>
      <c r="C4" s="1">
        <v>45664</v>
      </c>
      <c r="D4" s="2">
        <f>YEAR(case_study_2_data[[#This Row],[order_date]])</f>
        <v>2025</v>
      </c>
      <c r="E4" s="1" t="str">
        <f>TEXT(case_study_2_data[[#This Row],[order_date]],"rrrr-mm")</f>
        <v>2025-01</v>
      </c>
      <c r="F4" t="s">
        <v>9</v>
      </c>
      <c r="G4" s="4">
        <v>340</v>
      </c>
      <c r="H4" s="4" t="str">
        <f>IF(case_study_2_data[[#This Row],[amount]]&gt;=2000,"high_value_order",
 IF(case_study_2_data[[#This Row],[amount]]&gt;=500,"mid_value_order",
 "low_value_order"))</f>
        <v>low_value_order</v>
      </c>
      <c r="I4" t="s">
        <v>7</v>
      </c>
    </row>
    <row r="5" spans="1:9" x14ac:dyDescent="0.35">
      <c r="A5">
        <v>4</v>
      </c>
      <c r="B5">
        <v>4</v>
      </c>
      <c r="C5" s="1">
        <v>45667</v>
      </c>
      <c r="D5" s="2">
        <f>YEAR(case_study_2_data[[#This Row],[order_date]])</f>
        <v>2025</v>
      </c>
      <c r="E5" s="1" t="str">
        <f>TEXT(case_study_2_data[[#This Row],[order_date]],"rrrr-mm")</f>
        <v>2025-01</v>
      </c>
      <c r="F5" t="s">
        <v>6</v>
      </c>
      <c r="G5" s="4">
        <v>980</v>
      </c>
      <c r="H5" s="4" t="str">
        <f>IF(case_study_2_data[[#This Row],[amount]]&gt;=2000,"high_value_order",
 IF(case_study_2_data[[#This Row],[amount]]&gt;=500,"mid_value_order",
 "low_value_order"))</f>
        <v>mid_value_order</v>
      </c>
      <c r="I5" t="s">
        <v>7</v>
      </c>
    </row>
    <row r="6" spans="1:9" x14ac:dyDescent="0.35">
      <c r="A6">
        <v>5</v>
      </c>
      <c r="B6">
        <v>5</v>
      </c>
      <c r="C6" s="1">
        <v>45672</v>
      </c>
      <c r="D6" s="2">
        <f>YEAR(case_study_2_data[[#This Row],[order_date]])</f>
        <v>2025</v>
      </c>
      <c r="E6" s="1" t="str">
        <f>TEXT(case_study_2_data[[#This Row],[order_date]],"rrrr-mm")</f>
        <v>2025-01</v>
      </c>
      <c r="F6" t="s">
        <v>10</v>
      </c>
      <c r="G6" s="4">
        <v>120</v>
      </c>
      <c r="H6" s="4" t="str">
        <f>IF(case_study_2_data[[#This Row],[amount]]&gt;=2000,"high_value_order",
 IF(case_study_2_data[[#This Row],[amount]]&gt;=500,"mid_value_order",
 "low_value_order"))</f>
        <v>low_value_order</v>
      </c>
      <c r="I6" t="s">
        <v>7</v>
      </c>
    </row>
    <row r="7" spans="1:9" x14ac:dyDescent="0.35">
      <c r="A7">
        <v>6</v>
      </c>
      <c r="B7">
        <v>6</v>
      </c>
      <c r="C7" s="1">
        <v>45677</v>
      </c>
      <c r="D7" s="2">
        <f>YEAR(case_study_2_data[[#This Row],[order_date]])</f>
        <v>2025</v>
      </c>
      <c r="E7" s="1" t="str">
        <f>TEXT(case_study_2_data[[#This Row],[order_date]],"rrrr-mm")</f>
        <v>2025-01</v>
      </c>
      <c r="F7" t="s">
        <v>9</v>
      </c>
      <c r="G7" s="4">
        <v>560</v>
      </c>
      <c r="H7" s="4" t="str">
        <f>IF(case_study_2_data[[#This Row],[amount]]&gt;=2000,"high_value_order",
 IF(case_study_2_data[[#This Row],[amount]]&gt;=500,"mid_value_order",
 "low_value_order"))</f>
        <v>mid_value_order</v>
      </c>
      <c r="I7" t="s">
        <v>7</v>
      </c>
    </row>
    <row r="8" spans="1:9" x14ac:dyDescent="0.35">
      <c r="A8">
        <v>7</v>
      </c>
      <c r="B8">
        <v>7</v>
      </c>
      <c r="C8" s="1">
        <v>45679</v>
      </c>
      <c r="D8" s="2">
        <f>YEAR(case_study_2_data[[#This Row],[order_date]])</f>
        <v>2025</v>
      </c>
      <c r="E8" s="1" t="str">
        <f>TEXT(case_study_2_data[[#This Row],[order_date]],"rrrr-mm")</f>
        <v>2025-01</v>
      </c>
      <c r="F8" t="s">
        <v>8</v>
      </c>
      <c r="G8" s="4">
        <v>300</v>
      </c>
      <c r="H8" s="4" t="str">
        <f>IF(case_study_2_data[[#This Row],[amount]]&gt;=2000,"high_value_order",
 IF(case_study_2_data[[#This Row],[amount]]&gt;=500,"mid_value_order",
 "low_value_order"))</f>
        <v>low_value_order</v>
      </c>
      <c r="I8" t="s">
        <v>7</v>
      </c>
    </row>
    <row r="9" spans="1:9" x14ac:dyDescent="0.35">
      <c r="A9">
        <v>8</v>
      </c>
      <c r="B9">
        <v>8</v>
      </c>
      <c r="C9" s="1">
        <v>45689</v>
      </c>
      <c r="D9" s="2">
        <f>YEAR(case_study_2_data[[#This Row],[order_date]])</f>
        <v>2025</v>
      </c>
      <c r="E9" s="1" t="str">
        <f>TEXT(case_study_2_data[[#This Row],[order_date]],"rrrr-mm")</f>
        <v>2025-02</v>
      </c>
      <c r="F9" t="s">
        <v>6</v>
      </c>
      <c r="G9" s="4">
        <v>1500</v>
      </c>
      <c r="H9" s="4" t="str">
        <f>IF(case_study_2_data[[#This Row],[amount]]&gt;=2000,"high_value_order",
 IF(case_study_2_data[[#This Row],[amount]]&gt;=500,"mid_value_order",
 "low_value_order"))</f>
        <v>mid_value_order</v>
      </c>
      <c r="I9" t="s">
        <v>7</v>
      </c>
    </row>
    <row r="10" spans="1:9" x14ac:dyDescent="0.35">
      <c r="A10">
        <v>9</v>
      </c>
      <c r="B10">
        <v>1</v>
      </c>
      <c r="C10" s="1">
        <v>45691</v>
      </c>
      <c r="D10" s="2">
        <f>YEAR(case_study_2_data[[#This Row],[order_date]])</f>
        <v>2025</v>
      </c>
      <c r="E10" s="1" t="str">
        <f>TEXT(case_study_2_data[[#This Row],[order_date]],"rrrr-mm")</f>
        <v>2025-02</v>
      </c>
      <c r="F10" t="s">
        <v>8</v>
      </c>
      <c r="G10" s="4">
        <v>220</v>
      </c>
      <c r="H10" s="4" t="str">
        <f>IF(case_study_2_data[[#This Row],[amount]]&gt;=2000,"high_value_order",
 IF(case_study_2_data[[#This Row],[amount]]&gt;=500,"mid_value_order",
 "low_value_order"))</f>
        <v>low_value_order</v>
      </c>
      <c r="I10" t="s">
        <v>7</v>
      </c>
    </row>
    <row r="11" spans="1:9" x14ac:dyDescent="0.35">
      <c r="A11">
        <v>10</v>
      </c>
      <c r="B11">
        <v>2</v>
      </c>
      <c r="C11" s="1">
        <v>45695</v>
      </c>
      <c r="D11" s="2">
        <f>YEAR(case_study_2_data[[#This Row],[order_date]])</f>
        <v>2025</v>
      </c>
      <c r="E11" s="1" t="str">
        <f>TEXT(case_study_2_data[[#This Row],[order_date]],"rrrr-mm")</f>
        <v>2025-02</v>
      </c>
      <c r="F11" t="s">
        <v>10</v>
      </c>
      <c r="G11" s="4">
        <v>90</v>
      </c>
      <c r="H11" s="4" t="str">
        <f>IF(case_study_2_data[[#This Row],[amount]]&gt;=2000,"high_value_order",
 IF(case_study_2_data[[#This Row],[amount]]&gt;=500,"mid_value_order",
 "low_value_order"))</f>
        <v>low_value_order</v>
      </c>
      <c r="I11" t="s">
        <v>7</v>
      </c>
    </row>
    <row r="12" spans="1:9" x14ac:dyDescent="0.35">
      <c r="A12">
        <v>11</v>
      </c>
      <c r="B12">
        <v>9</v>
      </c>
      <c r="C12" s="1">
        <v>45697</v>
      </c>
      <c r="D12" s="2">
        <f>YEAR(case_study_2_data[[#This Row],[order_date]])</f>
        <v>2025</v>
      </c>
      <c r="E12" s="1" t="str">
        <f>TEXT(case_study_2_data[[#This Row],[order_date]],"rrrr-mm")</f>
        <v>2025-02</v>
      </c>
      <c r="F12" t="s">
        <v>9</v>
      </c>
      <c r="G12" s="4">
        <v>400</v>
      </c>
      <c r="H12" s="4" t="str">
        <f>IF(case_study_2_data[[#This Row],[amount]]&gt;=2000,"high_value_order",
 IF(case_study_2_data[[#This Row],[amount]]&gt;=500,"mid_value_order",
 "low_value_order"))</f>
        <v>low_value_order</v>
      </c>
      <c r="I12" t="s">
        <v>7</v>
      </c>
    </row>
    <row r="13" spans="1:9" x14ac:dyDescent="0.35">
      <c r="A13">
        <v>12</v>
      </c>
      <c r="B13">
        <v>10</v>
      </c>
      <c r="C13" s="1">
        <v>45702</v>
      </c>
      <c r="D13" s="2">
        <f>YEAR(case_study_2_data[[#This Row],[order_date]])</f>
        <v>2025</v>
      </c>
      <c r="E13" s="1" t="str">
        <f>TEXT(case_study_2_data[[#This Row],[order_date]],"rrrr-mm")</f>
        <v>2025-02</v>
      </c>
      <c r="F13" t="s">
        <v>6</v>
      </c>
      <c r="G13" s="4">
        <v>2100</v>
      </c>
      <c r="H13" s="4" t="str">
        <f>IF(case_study_2_data[[#This Row],[amount]]&gt;=2000,"high_value_order",
 IF(case_study_2_data[[#This Row],[amount]]&gt;=500,"mid_value_order",
 "low_value_order"))</f>
        <v>high_value_order</v>
      </c>
      <c r="I13" t="s">
        <v>7</v>
      </c>
    </row>
    <row r="14" spans="1:9" x14ac:dyDescent="0.35">
      <c r="A14">
        <v>13</v>
      </c>
      <c r="B14">
        <v>11</v>
      </c>
      <c r="C14" s="1">
        <v>45706</v>
      </c>
      <c r="D14" s="2">
        <f>YEAR(case_study_2_data[[#This Row],[order_date]])</f>
        <v>2025</v>
      </c>
      <c r="E14" s="1" t="str">
        <f>TEXT(case_study_2_data[[#This Row],[order_date]],"rrrr-mm")</f>
        <v>2025-02</v>
      </c>
      <c r="F14" t="s">
        <v>8</v>
      </c>
      <c r="G14" s="4">
        <v>310</v>
      </c>
      <c r="H14" s="4" t="str">
        <f>IF(case_study_2_data[[#This Row],[amount]]&gt;=2000,"high_value_order",
 IF(case_study_2_data[[#This Row],[amount]]&gt;=500,"mid_value_order",
 "low_value_order"))</f>
        <v>low_value_order</v>
      </c>
      <c r="I14" t="s">
        <v>7</v>
      </c>
    </row>
    <row r="15" spans="1:9" x14ac:dyDescent="0.35">
      <c r="A15">
        <v>14</v>
      </c>
      <c r="B15">
        <v>12</v>
      </c>
      <c r="C15" s="1">
        <v>45710</v>
      </c>
      <c r="D15" s="2">
        <f>YEAR(case_study_2_data[[#This Row],[order_date]])</f>
        <v>2025</v>
      </c>
      <c r="E15" s="1" t="str">
        <f>TEXT(case_study_2_data[[#This Row],[order_date]],"rrrr-mm")</f>
        <v>2025-02</v>
      </c>
      <c r="F15" t="s">
        <v>9</v>
      </c>
      <c r="G15" s="4">
        <v>650</v>
      </c>
      <c r="H15" s="4" t="str">
        <f>IF(case_study_2_data[[#This Row],[amount]]&gt;=2000,"high_value_order",
 IF(case_study_2_data[[#This Row],[amount]]&gt;=500,"mid_value_order",
 "low_value_order"))</f>
        <v>mid_value_order</v>
      </c>
      <c r="I15" t="s">
        <v>7</v>
      </c>
    </row>
    <row r="16" spans="1:9" x14ac:dyDescent="0.35">
      <c r="A16">
        <v>15</v>
      </c>
      <c r="B16">
        <v>3</v>
      </c>
      <c r="C16" s="1">
        <v>45718</v>
      </c>
      <c r="D16" s="2">
        <f>YEAR(case_study_2_data[[#This Row],[order_date]])</f>
        <v>2025</v>
      </c>
      <c r="E16" s="1" t="str">
        <f>TEXT(case_study_2_data[[#This Row],[order_date]],"rrrr-mm")</f>
        <v>2025-03</v>
      </c>
      <c r="F16" t="s">
        <v>6</v>
      </c>
      <c r="G16" s="4">
        <v>1700</v>
      </c>
      <c r="H16" s="4" t="str">
        <f>IF(case_study_2_data[[#This Row],[amount]]&gt;=2000,"high_value_order",
 IF(case_study_2_data[[#This Row],[amount]]&gt;=500,"mid_value_order",
 "low_value_order"))</f>
        <v>mid_value_order</v>
      </c>
      <c r="I16" t="s">
        <v>7</v>
      </c>
    </row>
    <row r="17" spans="1:9" x14ac:dyDescent="0.35">
      <c r="A17">
        <v>16</v>
      </c>
      <c r="B17">
        <v>13</v>
      </c>
      <c r="C17" s="1">
        <v>45721</v>
      </c>
      <c r="D17" s="2">
        <f>YEAR(case_study_2_data[[#This Row],[order_date]])</f>
        <v>2025</v>
      </c>
      <c r="E17" s="1" t="str">
        <f>TEXT(case_study_2_data[[#This Row],[order_date]],"rrrr-mm")</f>
        <v>2025-03</v>
      </c>
      <c r="F17" t="s">
        <v>10</v>
      </c>
      <c r="G17" s="4">
        <v>140</v>
      </c>
      <c r="H17" s="4" t="str">
        <f>IF(case_study_2_data[[#This Row],[amount]]&gt;=2000,"high_value_order",
 IF(case_study_2_data[[#This Row],[amount]]&gt;=500,"mid_value_order",
 "low_value_order"))</f>
        <v>low_value_order</v>
      </c>
      <c r="I17" t="s">
        <v>7</v>
      </c>
    </row>
    <row r="18" spans="1:9" x14ac:dyDescent="0.35">
      <c r="A18">
        <v>17</v>
      </c>
      <c r="B18">
        <v>14</v>
      </c>
      <c r="C18" s="1">
        <v>45726</v>
      </c>
      <c r="D18" s="2">
        <f>YEAR(case_study_2_data[[#This Row],[order_date]])</f>
        <v>2025</v>
      </c>
      <c r="E18" s="1" t="str">
        <f>TEXT(case_study_2_data[[#This Row],[order_date]],"rrrr-mm")</f>
        <v>2025-03</v>
      </c>
      <c r="F18" t="s">
        <v>8</v>
      </c>
      <c r="G18" s="4">
        <v>280</v>
      </c>
      <c r="H18" s="4" t="str">
        <f>IF(case_study_2_data[[#This Row],[amount]]&gt;=2000,"high_value_order",
 IF(case_study_2_data[[#This Row],[amount]]&gt;=500,"mid_value_order",
 "low_value_order"))</f>
        <v>low_value_order</v>
      </c>
      <c r="I18" t="s">
        <v>7</v>
      </c>
    </row>
    <row r="19" spans="1:9" x14ac:dyDescent="0.35">
      <c r="A19">
        <v>18</v>
      </c>
      <c r="B19">
        <v>15</v>
      </c>
      <c r="C19" s="1">
        <v>45730</v>
      </c>
      <c r="D19" s="2">
        <f>YEAR(case_study_2_data[[#This Row],[order_date]])</f>
        <v>2025</v>
      </c>
      <c r="E19" s="1" t="str">
        <f>TEXT(case_study_2_data[[#This Row],[order_date]],"rrrr-mm")</f>
        <v>2025-03</v>
      </c>
      <c r="F19" t="s">
        <v>9</v>
      </c>
      <c r="G19" s="4">
        <v>720</v>
      </c>
      <c r="H19" s="4" t="str">
        <f>IF(case_study_2_data[[#This Row],[amount]]&gt;=2000,"high_value_order",
 IF(case_study_2_data[[#This Row],[amount]]&gt;=500,"mid_value_order",
 "low_value_order"))</f>
        <v>mid_value_order</v>
      </c>
      <c r="I19" t="s">
        <v>7</v>
      </c>
    </row>
    <row r="20" spans="1:9" x14ac:dyDescent="0.35">
      <c r="A20">
        <v>19</v>
      </c>
      <c r="B20">
        <v>16</v>
      </c>
      <c r="C20" s="1">
        <v>45734</v>
      </c>
      <c r="D20" s="2">
        <f>YEAR(case_study_2_data[[#This Row],[order_date]])</f>
        <v>2025</v>
      </c>
      <c r="E20" s="1" t="str">
        <f>TEXT(case_study_2_data[[#This Row],[order_date]],"rrrr-mm")</f>
        <v>2025-03</v>
      </c>
      <c r="F20" t="s">
        <v>6</v>
      </c>
      <c r="G20" s="4">
        <v>2000</v>
      </c>
      <c r="H20" s="4" t="str">
        <f>IF(case_study_2_data[[#This Row],[amount]]&gt;=2000,"high_value_order",
 IF(case_study_2_data[[#This Row],[amount]]&gt;=500,"mid_value_order",
 "low_value_order"))</f>
        <v>high_value_order</v>
      </c>
      <c r="I20" t="s">
        <v>7</v>
      </c>
    </row>
    <row r="21" spans="1:9" x14ac:dyDescent="0.35">
      <c r="A21">
        <v>20</v>
      </c>
      <c r="B21">
        <v>4</v>
      </c>
      <c r="C21" s="1">
        <v>45738</v>
      </c>
      <c r="D21" s="2">
        <f>YEAR(case_study_2_data[[#This Row],[order_date]])</f>
        <v>2025</v>
      </c>
      <c r="E21" s="1" t="str">
        <f>TEXT(case_study_2_data[[#This Row],[order_date]],"rrrr-mm")</f>
        <v>2025-03</v>
      </c>
      <c r="F21" t="s">
        <v>8</v>
      </c>
      <c r="G21" s="4">
        <v>260</v>
      </c>
      <c r="H21" s="4" t="str">
        <f>IF(case_study_2_data[[#This Row],[amount]]&gt;=2000,"high_value_order",
 IF(case_study_2_data[[#This Row],[amount]]&gt;=500,"mid_value_order",
 "low_value_order"))</f>
        <v>low_value_order</v>
      </c>
      <c r="I21" t="s">
        <v>7</v>
      </c>
    </row>
    <row r="22" spans="1:9" x14ac:dyDescent="0.35">
      <c r="A22">
        <v>21</v>
      </c>
      <c r="B22">
        <v>17</v>
      </c>
      <c r="C22" s="1">
        <v>45748</v>
      </c>
      <c r="D22" s="2">
        <f>YEAR(case_study_2_data[[#This Row],[order_date]])</f>
        <v>2025</v>
      </c>
      <c r="E22" s="1" t="str">
        <f>TEXT(case_study_2_data[[#This Row],[order_date]],"rrrr-mm")</f>
        <v>2025-04</v>
      </c>
      <c r="F22" t="s">
        <v>6</v>
      </c>
      <c r="G22" s="4">
        <v>1300</v>
      </c>
      <c r="H22" s="4" t="str">
        <f>IF(case_study_2_data[[#This Row],[amount]]&gt;=2000,"high_value_order",
 IF(case_study_2_data[[#This Row],[amount]]&gt;=500,"mid_value_order",
 "low_value_order"))</f>
        <v>mid_value_order</v>
      </c>
      <c r="I22" t="s">
        <v>7</v>
      </c>
    </row>
    <row r="23" spans="1:9" x14ac:dyDescent="0.35">
      <c r="A23">
        <v>22</v>
      </c>
      <c r="B23">
        <v>18</v>
      </c>
      <c r="C23" s="1">
        <v>45751</v>
      </c>
      <c r="D23" s="2">
        <f>YEAR(case_study_2_data[[#This Row],[order_date]])</f>
        <v>2025</v>
      </c>
      <c r="E23" s="1" t="str">
        <f>TEXT(case_study_2_data[[#This Row],[order_date]],"rrrr-mm")</f>
        <v>2025-04</v>
      </c>
      <c r="F23" t="s">
        <v>9</v>
      </c>
      <c r="G23" s="4">
        <v>500</v>
      </c>
      <c r="H23" s="4" t="str">
        <f>IF(case_study_2_data[[#This Row],[amount]]&gt;=2000,"high_value_order",
 IF(case_study_2_data[[#This Row],[amount]]&gt;=500,"mid_value_order",
 "low_value_order"))</f>
        <v>mid_value_order</v>
      </c>
      <c r="I23" t="s">
        <v>7</v>
      </c>
    </row>
    <row r="24" spans="1:9" x14ac:dyDescent="0.35">
      <c r="A24">
        <v>23</v>
      </c>
      <c r="B24">
        <v>19</v>
      </c>
      <c r="C24" s="1">
        <v>45754</v>
      </c>
      <c r="D24" s="2">
        <f>YEAR(case_study_2_data[[#This Row],[order_date]])</f>
        <v>2025</v>
      </c>
      <c r="E24" s="1" t="str">
        <f>TEXT(case_study_2_data[[#This Row],[order_date]],"rrrr-mm")</f>
        <v>2025-04</v>
      </c>
      <c r="F24" t="s">
        <v>10</v>
      </c>
      <c r="G24" s="4">
        <v>110</v>
      </c>
      <c r="H24" s="4" t="str">
        <f>IF(case_study_2_data[[#This Row],[amount]]&gt;=2000,"high_value_order",
 IF(case_study_2_data[[#This Row],[amount]]&gt;=500,"mid_value_order",
 "low_value_order"))</f>
        <v>low_value_order</v>
      </c>
      <c r="I24" t="s">
        <v>7</v>
      </c>
    </row>
    <row r="25" spans="1:9" x14ac:dyDescent="0.35">
      <c r="A25">
        <v>24</v>
      </c>
      <c r="B25">
        <v>20</v>
      </c>
      <c r="C25" s="1">
        <v>45758</v>
      </c>
      <c r="D25" s="2">
        <f>YEAR(case_study_2_data[[#This Row],[order_date]])</f>
        <v>2025</v>
      </c>
      <c r="E25" s="1" t="str">
        <f>TEXT(case_study_2_data[[#This Row],[order_date]],"rrrr-mm")</f>
        <v>2025-04</v>
      </c>
      <c r="F25" t="s">
        <v>8</v>
      </c>
      <c r="G25" s="4">
        <v>330</v>
      </c>
      <c r="H25" s="4" t="str">
        <f>IF(case_study_2_data[[#This Row],[amount]]&gt;=2000,"high_value_order",
 IF(case_study_2_data[[#This Row],[amount]]&gt;=500,"mid_value_order",
 "low_value_order"))</f>
        <v>low_value_order</v>
      </c>
      <c r="I25" t="s">
        <v>7</v>
      </c>
    </row>
    <row r="26" spans="1:9" x14ac:dyDescent="0.35">
      <c r="A26">
        <v>25</v>
      </c>
      <c r="B26">
        <v>21</v>
      </c>
      <c r="C26" s="1">
        <v>45762</v>
      </c>
      <c r="D26" s="2">
        <f>YEAR(case_study_2_data[[#This Row],[order_date]])</f>
        <v>2025</v>
      </c>
      <c r="E26" s="1" t="str">
        <f>TEXT(case_study_2_data[[#This Row],[order_date]],"rrrr-mm")</f>
        <v>2025-04</v>
      </c>
      <c r="F26" t="s">
        <v>6</v>
      </c>
      <c r="G26" s="4">
        <v>2200</v>
      </c>
      <c r="H26" s="4" t="str">
        <f>IF(case_study_2_data[[#This Row],[amount]]&gt;=2000,"high_value_order",
 IF(case_study_2_data[[#This Row],[amount]]&gt;=500,"mid_value_order",
 "low_value_order"))</f>
        <v>high_value_order</v>
      </c>
      <c r="I26" t="s">
        <v>7</v>
      </c>
    </row>
    <row r="27" spans="1:9" x14ac:dyDescent="0.35">
      <c r="A27">
        <v>26</v>
      </c>
      <c r="B27">
        <v>22</v>
      </c>
      <c r="C27" s="1">
        <v>45765</v>
      </c>
      <c r="D27" s="2">
        <f>YEAR(case_study_2_data[[#This Row],[order_date]])</f>
        <v>2025</v>
      </c>
      <c r="E27" s="1" t="str">
        <f>TEXT(case_study_2_data[[#This Row],[order_date]],"rrrr-mm")</f>
        <v>2025-04</v>
      </c>
      <c r="F27" t="s">
        <v>9</v>
      </c>
      <c r="G27" s="4">
        <v>450</v>
      </c>
      <c r="H27" s="4" t="str">
        <f>IF(case_study_2_data[[#This Row],[amount]]&gt;=2000,"high_value_order",
 IF(case_study_2_data[[#This Row],[amount]]&gt;=500,"mid_value_order",
 "low_value_order"))</f>
        <v>low_value_order</v>
      </c>
      <c r="I27" t="s">
        <v>7</v>
      </c>
    </row>
    <row r="28" spans="1:9" x14ac:dyDescent="0.35">
      <c r="A28">
        <v>27</v>
      </c>
      <c r="B28">
        <v>23</v>
      </c>
      <c r="C28" s="1">
        <v>45779</v>
      </c>
      <c r="D28" s="2">
        <f>YEAR(case_study_2_data[[#This Row],[order_date]])</f>
        <v>2025</v>
      </c>
      <c r="E28" s="1" t="str">
        <f>TEXT(case_study_2_data[[#This Row],[order_date]],"rrrr-mm")</f>
        <v>2025-05</v>
      </c>
      <c r="F28" t="s">
        <v>8</v>
      </c>
      <c r="G28" s="4">
        <v>310</v>
      </c>
      <c r="H28" s="4" t="str">
        <f>IF(case_study_2_data[[#This Row],[amount]]&gt;=2000,"high_value_order",
 IF(case_study_2_data[[#This Row],[amount]]&gt;=500,"mid_value_order",
 "low_value_order"))</f>
        <v>low_value_order</v>
      </c>
      <c r="I28" t="s">
        <v>7</v>
      </c>
    </row>
    <row r="29" spans="1:9" x14ac:dyDescent="0.35">
      <c r="A29">
        <v>28</v>
      </c>
      <c r="B29">
        <v>24</v>
      </c>
      <c r="C29" s="1">
        <v>45782</v>
      </c>
      <c r="D29" s="2">
        <f>YEAR(case_study_2_data[[#This Row],[order_date]])</f>
        <v>2025</v>
      </c>
      <c r="E29" s="1" t="str">
        <f>TEXT(case_study_2_data[[#This Row],[order_date]],"rrrr-mm")</f>
        <v>2025-05</v>
      </c>
      <c r="F29" t="s">
        <v>6</v>
      </c>
      <c r="G29" s="4">
        <v>1900</v>
      </c>
      <c r="H29" s="4" t="str">
        <f>IF(case_study_2_data[[#This Row],[amount]]&gt;=2000,"high_value_order",
 IF(case_study_2_data[[#This Row],[amount]]&gt;=500,"mid_value_order",
 "low_value_order"))</f>
        <v>mid_value_order</v>
      </c>
      <c r="I29" t="s">
        <v>7</v>
      </c>
    </row>
    <row r="30" spans="1:9" x14ac:dyDescent="0.35">
      <c r="A30">
        <v>29</v>
      </c>
      <c r="B30">
        <v>25</v>
      </c>
      <c r="C30" s="1">
        <v>45785</v>
      </c>
      <c r="D30" s="2">
        <f>YEAR(case_study_2_data[[#This Row],[order_date]])</f>
        <v>2025</v>
      </c>
      <c r="E30" s="1" t="str">
        <f>TEXT(case_study_2_data[[#This Row],[order_date]],"rrrr-mm")</f>
        <v>2025-05</v>
      </c>
      <c r="F30" t="s">
        <v>10</v>
      </c>
      <c r="G30" s="4">
        <v>160</v>
      </c>
      <c r="H30" s="4" t="str">
        <f>IF(case_study_2_data[[#This Row],[amount]]&gt;=2000,"high_value_order",
 IF(case_study_2_data[[#This Row],[amount]]&gt;=500,"mid_value_order",
 "low_value_order"))</f>
        <v>low_value_order</v>
      </c>
      <c r="I30" t="s">
        <v>7</v>
      </c>
    </row>
    <row r="31" spans="1:9" x14ac:dyDescent="0.35">
      <c r="A31">
        <v>30</v>
      </c>
      <c r="B31">
        <v>26</v>
      </c>
      <c r="C31" s="1">
        <v>45789</v>
      </c>
      <c r="D31" s="2">
        <f>YEAR(case_study_2_data[[#This Row],[order_date]])</f>
        <v>2025</v>
      </c>
      <c r="E31" s="1" t="str">
        <f>TEXT(case_study_2_data[[#This Row],[order_date]],"rrrr-mm")</f>
        <v>2025-05</v>
      </c>
      <c r="F31" t="s">
        <v>9</v>
      </c>
      <c r="G31" s="4">
        <v>540</v>
      </c>
      <c r="H31" s="4" t="str">
        <f>IF(case_study_2_data[[#This Row],[amount]]&gt;=2000,"high_value_order",
 IF(case_study_2_data[[#This Row],[amount]]&gt;=500,"mid_value_order",
 "low_value_order"))</f>
        <v>mid_value_order</v>
      </c>
      <c r="I31" t="s">
        <v>7</v>
      </c>
    </row>
    <row r="32" spans="1:9" x14ac:dyDescent="0.35">
      <c r="A32">
        <v>31</v>
      </c>
      <c r="B32">
        <v>27</v>
      </c>
      <c r="C32" s="1">
        <v>45793</v>
      </c>
      <c r="D32" s="2">
        <f>YEAR(case_study_2_data[[#This Row],[order_date]])</f>
        <v>2025</v>
      </c>
      <c r="E32" s="1" t="str">
        <f>TEXT(case_study_2_data[[#This Row],[order_date]],"rrrr-mm")</f>
        <v>2025-05</v>
      </c>
      <c r="F32" t="s">
        <v>8</v>
      </c>
      <c r="G32" s="4">
        <v>280</v>
      </c>
      <c r="H32" s="4" t="str">
        <f>IF(case_study_2_data[[#This Row],[amount]]&gt;=2000,"high_value_order",
 IF(case_study_2_data[[#This Row],[amount]]&gt;=500,"mid_value_order",
 "low_value_order"))</f>
        <v>low_value_order</v>
      </c>
      <c r="I32" t="s">
        <v>7</v>
      </c>
    </row>
    <row r="33" spans="1:9" x14ac:dyDescent="0.35">
      <c r="A33">
        <v>32</v>
      </c>
      <c r="B33">
        <v>28</v>
      </c>
      <c r="C33" s="1">
        <v>45797</v>
      </c>
      <c r="D33" s="2">
        <f>YEAR(case_study_2_data[[#This Row],[order_date]])</f>
        <v>2025</v>
      </c>
      <c r="E33" s="1" t="str">
        <f>TEXT(case_study_2_data[[#This Row],[order_date]],"rrrr-mm")</f>
        <v>2025-05</v>
      </c>
      <c r="F33" t="s">
        <v>6</v>
      </c>
      <c r="G33" s="4">
        <v>2500</v>
      </c>
      <c r="H33" s="4" t="str">
        <f>IF(case_study_2_data[[#This Row],[amount]]&gt;=2000,"high_value_order",
 IF(case_study_2_data[[#This Row],[amount]]&gt;=500,"mid_value_order",
 "low_value_order"))</f>
        <v>high_value_order</v>
      </c>
      <c r="I33" t="s">
        <v>7</v>
      </c>
    </row>
    <row r="34" spans="1:9" x14ac:dyDescent="0.35">
      <c r="A34">
        <v>33</v>
      </c>
      <c r="B34">
        <v>29</v>
      </c>
      <c r="C34" s="1">
        <v>45809</v>
      </c>
      <c r="D34" s="2">
        <f>YEAR(case_study_2_data[[#This Row],[order_date]])</f>
        <v>2025</v>
      </c>
      <c r="E34" s="1" t="str">
        <f>TEXT(case_study_2_data[[#This Row],[order_date]],"rrrr-mm")</f>
        <v>2025-06</v>
      </c>
      <c r="F34" t="s">
        <v>9</v>
      </c>
      <c r="G34" s="4">
        <v>610</v>
      </c>
      <c r="H34" s="4" t="str">
        <f>IF(case_study_2_data[[#This Row],[amount]]&gt;=2000,"high_value_order",
 IF(case_study_2_data[[#This Row],[amount]]&gt;=500,"mid_value_order",
 "low_value_order"))</f>
        <v>mid_value_order</v>
      </c>
      <c r="I34" t="s">
        <v>7</v>
      </c>
    </row>
    <row r="35" spans="1:9" x14ac:dyDescent="0.35">
      <c r="A35">
        <v>34</v>
      </c>
      <c r="B35">
        <v>30</v>
      </c>
      <c r="C35" s="1">
        <v>45812</v>
      </c>
      <c r="D35" s="2">
        <f>YEAR(case_study_2_data[[#This Row],[order_date]])</f>
        <v>2025</v>
      </c>
      <c r="E35" s="1" t="str">
        <f>TEXT(case_study_2_data[[#This Row],[order_date]],"rrrr-mm")</f>
        <v>2025-06</v>
      </c>
      <c r="F35" t="s">
        <v>10</v>
      </c>
      <c r="G35" s="4">
        <v>150</v>
      </c>
      <c r="H35" s="4" t="str">
        <f>IF(case_study_2_data[[#This Row],[amount]]&gt;=2000,"high_value_order",
 IF(case_study_2_data[[#This Row],[amount]]&gt;=500,"mid_value_order",
 "low_value_order"))</f>
        <v>low_value_order</v>
      </c>
      <c r="I35" t="s">
        <v>7</v>
      </c>
    </row>
    <row r="36" spans="1:9" x14ac:dyDescent="0.35">
      <c r="A36">
        <v>35</v>
      </c>
      <c r="B36">
        <v>1</v>
      </c>
      <c r="C36" s="1">
        <v>45816</v>
      </c>
      <c r="D36" s="2">
        <f>YEAR(case_study_2_data[[#This Row],[order_date]])</f>
        <v>2025</v>
      </c>
      <c r="E36" s="1" t="str">
        <f>TEXT(case_study_2_data[[#This Row],[order_date]],"rrrr-mm")</f>
        <v>2025-06</v>
      </c>
      <c r="F36" t="s">
        <v>6</v>
      </c>
      <c r="G36" s="4">
        <v>1400</v>
      </c>
      <c r="H36" s="4" t="str">
        <f>IF(case_study_2_data[[#This Row],[amount]]&gt;=2000,"high_value_order",
 IF(case_study_2_data[[#This Row],[amount]]&gt;=500,"mid_value_order",
 "low_value_order"))</f>
        <v>mid_value_order</v>
      </c>
      <c r="I36" t="s">
        <v>7</v>
      </c>
    </row>
    <row r="37" spans="1:9" x14ac:dyDescent="0.35">
      <c r="A37">
        <v>36</v>
      </c>
      <c r="B37">
        <v>2</v>
      </c>
      <c r="C37" s="1">
        <v>45818</v>
      </c>
      <c r="D37" s="2">
        <f>YEAR(case_study_2_data[[#This Row],[order_date]])</f>
        <v>2025</v>
      </c>
      <c r="E37" s="1" t="str">
        <f>TEXT(case_study_2_data[[#This Row],[order_date]],"rrrr-mm")</f>
        <v>2025-06</v>
      </c>
      <c r="F37" t="s">
        <v>8</v>
      </c>
      <c r="G37" s="4">
        <v>270</v>
      </c>
      <c r="H37" s="4" t="str">
        <f>IF(case_study_2_data[[#This Row],[amount]]&gt;=2000,"high_value_order",
 IF(case_study_2_data[[#This Row],[amount]]&gt;=500,"mid_value_order",
 "low_value_order"))</f>
        <v>low_value_order</v>
      </c>
      <c r="I37" t="s">
        <v>7</v>
      </c>
    </row>
    <row r="38" spans="1:9" x14ac:dyDescent="0.35">
      <c r="A38">
        <v>37</v>
      </c>
      <c r="B38">
        <v>3</v>
      </c>
      <c r="C38" s="1">
        <v>45820</v>
      </c>
      <c r="D38" s="2">
        <f>YEAR(case_study_2_data[[#This Row],[order_date]])</f>
        <v>2025</v>
      </c>
      <c r="E38" s="1" t="str">
        <f>TEXT(case_study_2_data[[#This Row],[order_date]],"rrrr-mm")</f>
        <v>2025-06</v>
      </c>
      <c r="F38" t="s">
        <v>9</v>
      </c>
      <c r="G38" s="4">
        <v>480</v>
      </c>
      <c r="H38" s="4" t="str">
        <f>IF(case_study_2_data[[#This Row],[amount]]&gt;=2000,"high_value_order",
 IF(case_study_2_data[[#This Row],[amount]]&gt;=500,"mid_value_order",
 "low_value_order"))</f>
        <v>low_value_order</v>
      </c>
      <c r="I38" t="s">
        <v>7</v>
      </c>
    </row>
    <row r="39" spans="1:9" x14ac:dyDescent="0.35">
      <c r="A39">
        <v>38</v>
      </c>
      <c r="B39">
        <v>4</v>
      </c>
      <c r="C39" s="1">
        <v>45823</v>
      </c>
      <c r="D39" s="2">
        <f>YEAR(case_study_2_data[[#This Row],[order_date]])</f>
        <v>2025</v>
      </c>
      <c r="E39" s="1" t="str">
        <f>TEXT(case_study_2_data[[#This Row],[order_date]],"rrrr-mm")</f>
        <v>2025-06</v>
      </c>
      <c r="F39" t="s">
        <v>6</v>
      </c>
      <c r="G39" s="4">
        <v>1600</v>
      </c>
      <c r="H39" s="4" t="str">
        <f>IF(case_study_2_data[[#This Row],[amount]]&gt;=2000,"high_value_order",
 IF(case_study_2_data[[#This Row],[amount]]&gt;=500,"mid_value_order",
 "low_value_order"))</f>
        <v>mid_value_order</v>
      </c>
      <c r="I39" t="s">
        <v>7</v>
      </c>
    </row>
    <row r="40" spans="1:9" x14ac:dyDescent="0.35">
      <c r="A40">
        <v>39</v>
      </c>
      <c r="B40">
        <v>5</v>
      </c>
      <c r="C40" s="1">
        <v>45839</v>
      </c>
      <c r="D40" s="2">
        <f>YEAR(case_study_2_data[[#This Row],[order_date]])</f>
        <v>2025</v>
      </c>
      <c r="E40" s="1" t="str">
        <f>TEXT(case_study_2_data[[#This Row],[order_date]],"rrrr-mm")</f>
        <v>2025-07</v>
      </c>
      <c r="F40" t="s">
        <v>10</v>
      </c>
      <c r="G40" s="4">
        <v>130</v>
      </c>
      <c r="H40" s="4" t="str">
        <f>IF(case_study_2_data[[#This Row],[amount]]&gt;=2000,"high_value_order",
 IF(case_study_2_data[[#This Row],[amount]]&gt;=500,"mid_value_order",
 "low_value_order"))</f>
        <v>low_value_order</v>
      </c>
      <c r="I40" t="s">
        <v>7</v>
      </c>
    </row>
    <row r="41" spans="1:9" x14ac:dyDescent="0.35">
      <c r="A41">
        <v>40</v>
      </c>
      <c r="B41">
        <v>6</v>
      </c>
      <c r="C41" s="1">
        <v>45841</v>
      </c>
      <c r="D41" s="2">
        <f>YEAR(case_study_2_data[[#This Row],[order_date]])</f>
        <v>2025</v>
      </c>
      <c r="E41" s="1" t="str">
        <f>TEXT(case_study_2_data[[#This Row],[order_date]],"rrrr-mm")</f>
        <v>2025-07</v>
      </c>
      <c r="F41" t="s">
        <v>8</v>
      </c>
      <c r="G41" s="4">
        <v>320</v>
      </c>
      <c r="H41" s="4" t="str">
        <f>IF(case_study_2_data[[#This Row],[amount]]&gt;=2000,"high_value_order",
 IF(case_study_2_data[[#This Row],[amount]]&gt;=500,"mid_value_order",
 "low_value_order"))</f>
        <v>low_value_order</v>
      </c>
      <c r="I41" t="s">
        <v>7</v>
      </c>
    </row>
    <row r="42" spans="1:9" x14ac:dyDescent="0.35">
      <c r="A42">
        <v>41</v>
      </c>
      <c r="B42">
        <v>7</v>
      </c>
      <c r="C42" s="1">
        <v>45844</v>
      </c>
      <c r="D42" s="2">
        <f>YEAR(case_study_2_data[[#This Row],[order_date]])</f>
        <v>2025</v>
      </c>
      <c r="E42" s="1" t="str">
        <f>TEXT(case_study_2_data[[#This Row],[order_date]],"rrrr-mm")</f>
        <v>2025-07</v>
      </c>
      <c r="F42" t="s">
        <v>9</v>
      </c>
      <c r="G42" s="4">
        <v>690</v>
      </c>
      <c r="H42" s="4" t="str">
        <f>IF(case_study_2_data[[#This Row],[amount]]&gt;=2000,"high_value_order",
 IF(case_study_2_data[[#This Row],[amount]]&gt;=500,"mid_value_order",
 "low_value_order"))</f>
        <v>mid_value_order</v>
      </c>
      <c r="I42" t="s">
        <v>7</v>
      </c>
    </row>
    <row r="43" spans="1:9" x14ac:dyDescent="0.35">
      <c r="A43">
        <v>42</v>
      </c>
      <c r="B43">
        <v>8</v>
      </c>
      <c r="C43" s="1">
        <v>45847</v>
      </c>
      <c r="D43" s="2">
        <f>YEAR(case_study_2_data[[#This Row],[order_date]])</f>
        <v>2025</v>
      </c>
      <c r="E43" s="1" t="str">
        <f>TEXT(case_study_2_data[[#This Row],[order_date]],"rrrr-mm")</f>
        <v>2025-07</v>
      </c>
      <c r="F43" t="s">
        <v>6</v>
      </c>
      <c r="G43" s="4">
        <v>2300</v>
      </c>
      <c r="H43" s="4" t="str">
        <f>IF(case_study_2_data[[#This Row],[amount]]&gt;=2000,"high_value_order",
 IF(case_study_2_data[[#This Row],[amount]]&gt;=500,"mid_value_order",
 "low_value_order"))</f>
        <v>high_value_order</v>
      </c>
      <c r="I43" t="s">
        <v>7</v>
      </c>
    </row>
    <row r="44" spans="1:9" x14ac:dyDescent="0.35">
      <c r="A44">
        <v>43</v>
      </c>
      <c r="B44">
        <v>9</v>
      </c>
      <c r="C44" s="1">
        <v>45851</v>
      </c>
      <c r="D44" s="2">
        <f>YEAR(case_study_2_data[[#This Row],[order_date]])</f>
        <v>2025</v>
      </c>
      <c r="E44" s="1" t="str">
        <f>TEXT(case_study_2_data[[#This Row],[order_date]],"rrrr-mm")</f>
        <v>2025-07</v>
      </c>
      <c r="F44" t="s">
        <v>8</v>
      </c>
      <c r="G44" s="4">
        <v>260</v>
      </c>
      <c r="H44" s="4" t="str">
        <f>IF(case_study_2_data[[#This Row],[amount]]&gt;=2000,"high_value_order",
 IF(case_study_2_data[[#This Row],[amount]]&gt;=500,"mid_value_order",
 "low_value_order"))</f>
        <v>low_value_order</v>
      </c>
      <c r="I44" t="s">
        <v>7</v>
      </c>
    </row>
    <row r="45" spans="1:9" x14ac:dyDescent="0.35">
      <c r="A45">
        <v>44</v>
      </c>
      <c r="B45">
        <v>10</v>
      </c>
      <c r="C45" s="1">
        <v>45855</v>
      </c>
      <c r="D45" s="2">
        <f>YEAR(case_study_2_data[[#This Row],[order_date]])</f>
        <v>2025</v>
      </c>
      <c r="E45" s="1" t="str">
        <f>TEXT(case_study_2_data[[#This Row],[order_date]],"rrrr-mm")</f>
        <v>2025-07</v>
      </c>
      <c r="F45" t="s">
        <v>9</v>
      </c>
      <c r="G45" s="4">
        <v>530</v>
      </c>
      <c r="H45" s="4" t="str">
        <f>IF(case_study_2_data[[#This Row],[amount]]&gt;=2000,"high_value_order",
 IF(case_study_2_data[[#This Row],[amount]]&gt;=500,"mid_value_order",
 "low_value_order"))</f>
        <v>mid_value_order</v>
      </c>
      <c r="I45" t="s">
        <v>7</v>
      </c>
    </row>
    <row r="46" spans="1:9" x14ac:dyDescent="0.35">
      <c r="A46">
        <v>45</v>
      </c>
      <c r="B46">
        <v>11</v>
      </c>
      <c r="C46" s="1">
        <v>45870</v>
      </c>
      <c r="D46" s="2">
        <f>YEAR(case_study_2_data[[#This Row],[order_date]])</f>
        <v>2025</v>
      </c>
      <c r="E46" s="1" t="str">
        <f>TEXT(case_study_2_data[[#This Row],[order_date]],"rrrr-mm")</f>
        <v>2025-08</v>
      </c>
      <c r="F46" t="s">
        <v>6</v>
      </c>
      <c r="G46" s="4">
        <v>1750</v>
      </c>
      <c r="H46" s="4" t="str">
        <f>IF(case_study_2_data[[#This Row],[amount]]&gt;=2000,"high_value_order",
 IF(case_study_2_data[[#This Row],[amount]]&gt;=500,"mid_value_order",
 "low_value_order"))</f>
        <v>mid_value_order</v>
      </c>
      <c r="I46" t="s">
        <v>7</v>
      </c>
    </row>
    <row r="47" spans="1:9" x14ac:dyDescent="0.35">
      <c r="A47">
        <v>46</v>
      </c>
      <c r="B47">
        <v>12</v>
      </c>
      <c r="C47" s="1">
        <v>45874</v>
      </c>
      <c r="D47" s="2">
        <f>YEAR(case_study_2_data[[#This Row],[order_date]])</f>
        <v>2025</v>
      </c>
      <c r="E47" s="1" t="str">
        <f>TEXT(case_study_2_data[[#This Row],[order_date]],"rrrr-mm")</f>
        <v>2025-08</v>
      </c>
      <c r="F47" t="s">
        <v>10</v>
      </c>
      <c r="G47" s="4">
        <v>140</v>
      </c>
      <c r="H47" s="4" t="str">
        <f>IF(case_study_2_data[[#This Row],[amount]]&gt;=2000,"high_value_order",
 IF(case_study_2_data[[#This Row],[amount]]&gt;=500,"mid_value_order",
 "low_value_order"))</f>
        <v>low_value_order</v>
      </c>
      <c r="I47" t="s">
        <v>7</v>
      </c>
    </row>
    <row r="48" spans="1:9" x14ac:dyDescent="0.35">
      <c r="A48">
        <v>47</v>
      </c>
      <c r="B48">
        <v>13</v>
      </c>
      <c r="C48" s="1">
        <v>45877</v>
      </c>
      <c r="D48" s="2">
        <f>YEAR(case_study_2_data[[#This Row],[order_date]])</f>
        <v>2025</v>
      </c>
      <c r="E48" s="1" t="str">
        <f>TEXT(case_study_2_data[[#This Row],[order_date]],"rrrr-mm")</f>
        <v>2025-08</v>
      </c>
      <c r="F48" t="s">
        <v>8</v>
      </c>
      <c r="G48" s="4">
        <v>350</v>
      </c>
      <c r="H48" s="4" t="str">
        <f>IF(case_study_2_data[[#This Row],[amount]]&gt;=2000,"high_value_order",
 IF(case_study_2_data[[#This Row],[amount]]&gt;=500,"mid_value_order",
 "low_value_order"))</f>
        <v>low_value_order</v>
      </c>
      <c r="I48" t="s">
        <v>7</v>
      </c>
    </row>
    <row r="49" spans="1:9" x14ac:dyDescent="0.35">
      <c r="A49">
        <v>48</v>
      </c>
      <c r="B49">
        <v>14</v>
      </c>
      <c r="C49" s="1">
        <v>45880</v>
      </c>
      <c r="D49" s="2">
        <f>YEAR(case_study_2_data[[#This Row],[order_date]])</f>
        <v>2025</v>
      </c>
      <c r="E49" s="1" t="str">
        <f>TEXT(case_study_2_data[[#This Row],[order_date]],"rrrr-mm")</f>
        <v>2025-08</v>
      </c>
      <c r="F49" t="s">
        <v>9</v>
      </c>
      <c r="G49" s="4">
        <v>710</v>
      </c>
      <c r="H49" s="4" t="str">
        <f>IF(case_study_2_data[[#This Row],[amount]]&gt;=2000,"high_value_order",
 IF(case_study_2_data[[#This Row],[amount]]&gt;=500,"mid_value_order",
 "low_value_order"))</f>
        <v>mid_value_order</v>
      </c>
      <c r="I49" t="s">
        <v>7</v>
      </c>
    </row>
    <row r="50" spans="1:9" x14ac:dyDescent="0.35">
      <c r="A50">
        <v>49</v>
      </c>
      <c r="B50">
        <v>15</v>
      </c>
      <c r="C50" s="1">
        <v>45884</v>
      </c>
      <c r="D50" s="2">
        <f>YEAR(case_study_2_data[[#This Row],[order_date]])</f>
        <v>2025</v>
      </c>
      <c r="E50" s="1" t="str">
        <f>TEXT(case_study_2_data[[#This Row],[order_date]],"rrrr-mm")</f>
        <v>2025-08</v>
      </c>
      <c r="F50" t="s">
        <v>6</v>
      </c>
      <c r="G50" s="4">
        <v>2600</v>
      </c>
      <c r="H50" s="4" t="str">
        <f>IF(case_study_2_data[[#This Row],[amount]]&gt;=2000,"high_value_order",
 IF(case_study_2_data[[#This Row],[amount]]&gt;=500,"mid_value_order",
 "low_value_order"))</f>
        <v>high_value_order</v>
      </c>
      <c r="I50" t="s">
        <v>7</v>
      </c>
    </row>
    <row r="51" spans="1:9" x14ac:dyDescent="0.35">
      <c r="A51">
        <v>50</v>
      </c>
      <c r="B51">
        <v>16</v>
      </c>
      <c r="C51" s="1">
        <v>45901</v>
      </c>
      <c r="D51" s="2">
        <f>YEAR(case_study_2_data[[#This Row],[order_date]])</f>
        <v>2025</v>
      </c>
      <c r="E51" s="1" t="str">
        <f>TEXT(case_study_2_data[[#This Row],[order_date]],"rrrr-mm")</f>
        <v>2025-09</v>
      </c>
      <c r="F51" t="s">
        <v>9</v>
      </c>
      <c r="G51" s="4">
        <v>640</v>
      </c>
      <c r="H51" s="4" t="str">
        <f>IF(case_study_2_data[[#This Row],[amount]]&gt;=2000,"high_value_order",
 IF(case_study_2_data[[#This Row],[amount]]&gt;=500,"mid_value_order",
 "low_value_order"))</f>
        <v>mid_value_order</v>
      </c>
      <c r="I51" t="s">
        <v>7</v>
      </c>
    </row>
    <row r="52" spans="1:9" x14ac:dyDescent="0.35">
      <c r="A52">
        <v>51</v>
      </c>
      <c r="B52">
        <v>17</v>
      </c>
      <c r="C52" s="1">
        <v>45904</v>
      </c>
      <c r="D52" s="2">
        <f>YEAR(case_study_2_data[[#This Row],[order_date]])</f>
        <v>2025</v>
      </c>
      <c r="E52" s="1" t="str">
        <f>TEXT(case_study_2_data[[#This Row],[order_date]],"rrrr-mm")</f>
        <v>2025-09</v>
      </c>
      <c r="F52" t="s">
        <v>8</v>
      </c>
      <c r="G52" s="4">
        <v>300</v>
      </c>
      <c r="H52" s="4" t="str">
        <f>IF(case_study_2_data[[#This Row],[amount]]&gt;=2000,"high_value_order",
 IF(case_study_2_data[[#This Row],[amount]]&gt;=500,"mid_value_order",
 "low_value_order"))</f>
        <v>low_value_order</v>
      </c>
      <c r="I52" t="s">
        <v>7</v>
      </c>
    </row>
    <row r="53" spans="1:9" x14ac:dyDescent="0.35">
      <c r="A53">
        <v>52</v>
      </c>
      <c r="B53">
        <v>18</v>
      </c>
      <c r="C53" s="1">
        <v>45908</v>
      </c>
      <c r="D53" s="2">
        <f>YEAR(case_study_2_data[[#This Row],[order_date]])</f>
        <v>2025</v>
      </c>
      <c r="E53" s="1" t="str">
        <f>TEXT(case_study_2_data[[#This Row],[order_date]],"rrrr-mm")</f>
        <v>2025-09</v>
      </c>
      <c r="F53" t="s">
        <v>6</v>
      </c>
      <c r="G53" s="4">
        <v>2100</v>
      </c>
      <c r="H53" s="4" t="str">
        <f>IF(case_study_2_data[[#This Row],[amount]]&gt;=2000,"high_value_order",
 IF(case_study_2_data[[#This Row],[amount]]&gt;=500,"mid_value_order",
 "low_value_order"))</f>
        <v>high_value_order</v>
      </c>
      <c r="I53" t="s">
        <v>7</v>
      </c>
    </row>
    <row r="54" spans="1:9" x14ac:dyDescent="0.35">
      <c r="A54">
        <v>53</v>
      </c>
      <c r="B54">
        <v>19</v>
      </c>
      <c r="C54" s="1">
        <v>45912</v>
      </c>
      <c r="D54" s="2">
        <f>YEAR(case_study_2_data[[#This Row],[order_date]])</f>
        <v>2025</v>
      </c>
      <c r="E54" s="1" t="str">
        <f>TEXT(case_study_2_data[[#This Row],[order_date]],"rrrr-mm")</f>
        <v>2025-09</v>
      </c>
      <c r="F54" t="s">
        <v>10</v>
      </c>
      <c r="G54" s="4">
        <v>120</v>
      </c>
      <c r="H54" s="4" t="str">
        <f>IF(case_study_2_data[[#This Row],[amount]]&gt;=2000,"high_value_order",
 IF(case_study_2_data[[#This Row],[amount]]&gt;=500,"mid_value_order",
 "low_value_order"))</f>
        <v>low_value_order</v>
      </c>
      <c r="I54" t="s">
        <v>7</v>
      </c>
    </row>
    <row r="55" spans="1:9" x14ac:dyDescent="0.35">
      <c r="A55">
        <v>54</v>
      </c>
      <c r="B55">
        <v>20</v>
      </c>
      <c r="C55" s="1">
        <v>45916</v>
      </c>
      <c r="D55" s="2">
        <f>YEAR(case_study_2_data[[#This Row],[order_date]])</f>
        <v>2025</v>
      </c>
      <c r="E55" s="1" t="str">
        <f>TEXT(case_study_2_data[[#This Row],[order_date]],"rrrr-mm")</f>
        <v>2025-09</v>
      </c>
      <c r="F55" t="s">
        <v>9</v>
      </c>
      <c r="G55" s="4">
        <v>580</v>
      </c>
      <c r="H55" s="4" t="str">
        <f>IF(case_study_2_data[[#This Row],[amount]]&gt;=2000,"high_value_order",
 IF(case_study_2_data[[#This Row],[amount]]&gt;=500,"mid_value_order",
 "low_value_order"))</f>
        <v>mid_value_order</v>
      </c>
      <c r="I55" t="s">
        <v>7</v>
      </c>
    </row>
    <row r="56" spans="1:9" x14ac:dyDescent="0.35">
      <c r="A56">
        <v>55</v>
      </c>
      <c r="B56">
        <v>21</v>
      </c>
      <c r="C56" s="1">
        <v>45931</v>
      </c>
      <c r="D56" s="2">
        <f>YEAR(case_study_2_data[[#This Row],[order_date]])</f>
        <v>2025</v>
      </c>
      <c r="E56" s="1" t="str">
        <f>TEXT(case_study_2_data[[#This Row],[order_date]],"rrrr-mm")</f>
        <v>2025-10</v>
      </c>
      <c r="F56" t="s">
        <v>6</v>
      </c>
      <c r="G56" s="4">
        <v>2400</v>
      </c>
      <c r="H56" s="4" t="str">
        <f>IF(case_study_2_data[[#This Row],[amount]]&gt;=2000,"high_value_order",
 IF(case_study_2_data[[#This Row],[amount]]&gt;=500,"mid_value_order",
 "low_value_order"))</f>
        <v>high_value_order</v>
      </c>
      <c r="I56" t="s">
        <v>7</v>
      </c>
    </row>
    <row r="57" spans="1:9" x14ac:dyDescent="0.35">
      <c r="A57">
        <v>56</v>
      </c>
      <c r="B57">
        <v>22</v>
      </c>
      <c r="C57" s="1">
        <v>45934</v>
      </c>
      <c r="D57" s="2">
        <f>YEAR(case_study_2_data[[#This Row],[order_date]])</f>
        <v>2025</v>
      </c>
      <c r="E57" s="1" t="str">
        <f>TEXT(case_study_2_data[[#This Row],[order_date]],"rrrr-mm")</f>
        <v>2025-10</v>
      </c>
      <c r="F57" t="s">
        <v>8</v>
      </c>
      <c r="G57" s="4">
        <v>330</v>
      </c>
      <c r="H57" s="4" t="str">
        <f>IF(case_study_2_data[[#This Row],[amount]]&gt;=2000,"high_value_order",
 IF(case_study_2_data[[#This Row],[amount]]&gt;=500,"mid_value_order",
 "low_value_order"))</f>
        <v>low_value_order</v>
      </c>
      <c r="I57" t="s">
        <v>7</v>
      </c>
    </row>
    <row r="58" spans="1:9" x14ac:dyDescent="0.35">
      <c r="A58">
        <v>57</v>
      </c>
      <c r="B58">
        <v>23</v>
      </c>
      <c r="C58" s="1">
        <v>45938</v>
      </c>
      <c r="D58" s="2">
        <f>YEAR(case_study_2_data[[#This Row],[order_date]])</f>
        <v>2025</v>
      </c>
      <c r="E58" s="1" t="str">
        <f>TEXT(case_study_2_data[[#This Row],[order_date]],"rrrr-mm")</f>
        <v>2025-10</v>
      </c>
      <c r="F58" t="s">
        <v>9</v>
      </c>
      <c r="G58" s="4">
        <v>520</v>
      </c>
      <c r="H58" s="4" t="str">
        <f>IF(case_study_2_data[[#This Row],[amount]]&gt;=2000,"high_value_order",
 IF(case_study_2_data[[#This Row],[amount]]&gt;=500,"mid_value_order",
 "low_value_order"))</f>
        <v>mid_value_order</v>
      </c>
      <c r="I58" t="s">
        <v>7</v>
      </c>
    </row>
    <row r="59" spans="1:9" x14ac:dyDescent="0.35">
      <c r="A59">
        <v>58</v>
      </c>
      <c r="B59">
        <v>24</v>
      </c>
      <c r="C59" s="1">
        <v>45942</v>
      </c>
      <c r="D59" s="2">
        <f>YEAR(case_study_2_data[[#This Row],[order_date]])</f>
        <v>2025</v>
      </c>
      <c r="E59" s="1" t="str">
        <f>TEXT(case_study_2_data[[#This Row],[order_date]],"rrrr-mm")</f>
        <v>2025-10</v>
      </c>
      <c r="F59" t="s">
        <v>6</v>
      </c>
      <c r="G59" s="4">
        <v>2000</v>
      </c>
      <c r="H59" s="4" t="str">
        <f>IF(case_study_2_data[[#This Row],[amount]]&gt;=2000,"high_value_order",
 IF(case_study_2_data[[#This Row],[amount]]&gt;=500,"mid_value_order",
 "low_value_order"))</f>
        <v>high_value_order</v>
      </c>
      <c r="I59" t="s">
        <v>7</v>
      </c>
    </row>
    <row r="60" spans="1:9" x14ac:dyDescent="0.35">
      <c r="A60">
        <v>59</v>
      </c>
      <c r="B60">
        <v>25</v>
      </c>
      <c r="C60" s="1">
        <v>45946</v>
      </c>
      <c r="D60" s="2">
        <f>YEAR(case_study_2_data[[#This Row],[order_date]])</f>
        <v>2025</v>
      </c>
      <c r="E60" s="1" t="str">
        <f>TEXT(case_study_2_data[[#This Row],[order_date]],"rrrr-mm")</f>
        <v>2025-10</v>
      </c>
      <c r="F60" t="s">
        <v>10</v>
      </c>
      <c r="G60" s="4">
        <v>170</v>
      </c>
      <c r="H60" s="4" t="str">
        <f>IF(case_study_2_data[[#This Row],[amount]]&gt;=2000,"high_value_order",
 IF(case_study_2_data[[#This Row],[amount]]&gt;=500,"mid_value_order",
 "low_value_order"))</f>
        <v>low_value_order</v>
      </c>
      <c r="I60" t="s">
        <v>7</v>
      </c>
    </row>
    <row r="61" spans="1:9" x14ac:dyDescent="0.35">
      <c r="A61">
        <v>60</v>
      </c>
      <c r="B61">
        <v>26</v>
      </c>
      <c r="C61" s="1">
        <v>45963</v>
      </c>
      <c r="D61" s="2">
        <f>YEAR(case_study_2_data[[#This Row],[order_date]])</f>
        <v>2025</v>
      </c>
      <c r="E61" s="1" t="str">
        <f>TEXT(case_study_2_data[[#This Row],[order_date]],"rrrr-mm")</f>
        <v>2025-11</v>
      </c>
      <c r="F61" t="s">
        <v>8</v>
      </c>
      <c r="G61" s="4">
        <v>310</v>
      </c>
      <c r="H61" s="4" t="str">
        <f>IF(case_study_2_data[[#This Row],[amount]]&gt;=2000,"high_value_order",
 IF(case_study_2_data[[#This Row],[amount]]&gt;=500,"mid_value_order",
 "low_value_order"))</f>
        <v>low_value_order</v>
      </c>
      <c r="I61" t="s">
        <v>7</v>
      </c>
    </row>
    <row r="62" spans="1:9" x14ac:dyDescent="0.35">
      <c r="A62">
        <v>61</v>
      </c>
      <c r="B62">
        <v>27</v>
      </c>
      <c r="C62" s="1">
        <v>45967</v>
      </c>
      <c r="D62" s="2">
        <f>YEAR(case_study_2_data[[#This Row],[order_date]])</f>
        <v>2025</v>
      </c>
      <c r="E62" s="1" t="str">
        <f>TEXT(case_study_2_data[[#This Row],[order_date]],"rrrr-mm")</f>
        <v>2025-11</v>
      </c>
      <c r="F62" t="s">
        <v>6</v>
      </c>
      <c r="G62" s="4">
        <v>2800</v>
      </c>
      <c r="H62" s="4" t="str">
        <f>IF(case_study_2_data[[#This Row],[amount]]&gt;=2000,"high_value_order",
 IF(case_study_2_data[[#This Row],[amount]]&gt;=500,"mid_value_order",
 "low_value_order"))</f>
        <v>high_value_order</v>
      </c>
      <c r="I62" t="s">
        <v>7</v>
      </c>
    </row>
    <row r="63" spans="1:9" x14ac:dyDescent="0.35">
      <c r="A63">
        <v>62</v>
      </c>
      <c r="B63">
        <v>28</v>
      </c>
      <c r="C63" s="1">
        <v>45971</v>
      </c>
      <c r="D63" s="2">
        <f>YEAR(case_study_2_data[[#This Row],[order_date]])</f>
        <v>2025</v>
      </c>
      <c r="E63" s="1" t="str">
        <f>TEXT(case_study_2_data[[#This Row],[order_date]],"rrrr-mm")</f>
        <v>2025-11</v>
      </c>
      <c r="F63" t="s">
        <v>9</v>
      </c>
      <c r="G63" s="4">
        <v>760</v>
      </c>
      <c r="H63" s="4" t="str">
        <f>IF(case_study_2_data[[#This Row],[amount]]&gt;=2000,"high_value_order",
 IF(case_study_2_data[[#This Row],[amount]]&gt;=500,"mid_value_order",
 "low_value_order"))</f>
        <v>mid_value_order</v>
      </c>
      <c r="I63" t="s">
        <v>7</v>
      </c>
    </row>
    <row r="64" spans="1:9" x14ac:dyDescent="0.35">
      <c r="A64">
        <v>63</v>
      </c>
      <c r="B64">
        <v>29</v>
      </c>
      <c r="C64" s="1">
        <v>45976</v>
      </c>
      <c r="D64" s="2">
        <f>YEAR(case_study_2_data[[#This Row],[order_date]])</f>
        <v>2025</v>
      </c>
      <c r="E64" s="1" t="str">
        <f>TEXT(case_study_2_data[[#This Row],[order_date]],"rrrr-mm")</f>
        <v>2025-11</v>
      </c>
      <c r="F64" t="s">
        <v>10</v>
      </c>
      <c r="G64" s="4">
        <v>150</v>
      </c>
      <c r="H64" s="4" t="str">
        <f>IF(case_study_2_data[[#This Row],[amount]]&gt;=2000,"high_value_order",
 IF(case_study_2_data[[#This Row],[amount]]&gt;=500,"mid_value_order",
 "low_value_order"))</f>
        <v>low_value_order</v>
      </c>
      <c r="I64" t="s">
        <v>7</v>
      </c>
    </row>
    <row r="65" spans="1:9" x14ac:dyDescent="0.35">
      <c r="A65">
        <v>64</v>
      </c>
      <c r="B65">
        <v>30</v>
      </c>
      <c r="C65" s="1">
        <v>45979</v>
      </c>
      <c r="D65" s="2">
        <f>YEAR(case_study_2_data[[#This Row],[order_date]])</f>
        <v>2025</v>
      </c>
      <c r="E65" s="1" t="str">
        <f>TEXT(case_study_2_data[[#This Row],[order_date]],"rrrr-mm")</f>
        <v>2025-11</v>
      </c>
      <c r="F65" t="s">
        <v>8</v>
      </c>
      <c r="G65" s="4">
        <v>340</v>
      </c>
      <c r="H65" s="4" t="str">
        <f>IF(case_study_2_data[[#This Row],[amount]]&gt;=2000,"high_value_order",
 IF(case_study_2_data[[#This Row],[amount]]&gt;=500,"mid_value_order",
 "low_value_order"))</f>
        <v>low_value_order</v>
      </c>
      <c r="I65" t="s">
        <v>7</v>
      </c>
    </row>
    <row r="66" spans="1:9" x14ac:dyDescent="0.35">
      <c r="A66">
        <v>65</v>
      </c>
      <c r="B66">
        <v>1</v>
      </c>
      <c r="C66" s="1">
        <v>45992</v>
      </c>
      <c r="D66" s="2">
        <f>YEAR(case_study_2_data[[#This Row],[order_date]])</f>
        <v>2025</v>
      </c>
      <c r="E66" s="1" t="str">
        <f>TEXT(case_study_2_data[[#This Row],[order_date]],"rrrr-mm")</f>
        <v>2025-12</v>
      </c>
      <c r="F66" t="s">
        <v>6</v>
      </c>
      <c r="G66" s="4">
        <v>3000</v>
      </c>
      <c r="H66" s="4" t="str">
        <f>IF(case_study_2_data[[#This Row],[amount]]&gt;=2000,"high_value_order",
 IF(case_study_2_data[[#This Row],[amount]]&gt;=500,"mid_value_order",
 "low_value_order"))</f>
        <v>high_value_order</v>
      </c>
      <c r="I66" t="s">
        <v>7</v>
      </c>
    </row>
    <row r="67" spans="1:9" x14ac:dyDescent="0.35">
      <c r="A67">
        <v>66</v>
      </c>
      <c r="B67">
        <v>2</v>
      </c>
      <c r="C67" s="1">
        <v>45995</v>
      </c>
      <c r="D67" s="2">
        <f>YEAR(case_study_2_data[[#This Row],[order_date]])</f>
        <v>2025</v>
      </c>
      <c r="E67" s="1" t="str">
        <f>TEXT(case_study_2_data[[#This Row],[order_date]],"rrrr-mm")</f>
        <v>2025-12</v>
      </c>
      <c r="F67" t="s">
        <v>9</v>
      </c>
      <c r="G67" s="4">
        <v>620</v>
      </c>
      <c r="H67" s="4" t="str">
        <f>IF(case_study_2_data[[#This Row],[amount]]&gt;=2000,"high_value_order",
 IF(case_study_2_data[[#This Row],[amount]]&gt;=500,"mid_value_order",
 "low_value_order"))</f>
        <v>mid_value_order</v>
      </c>
      <c r="I67" t="s">
        <v>7</v>
      </c>
    </row>
    <row r="68" spans="1:9" x14ac:dyDescent="0.35">
      <c r="A68">
        <v>67</v>
      </c>
      <c r="B68">
        <v>3</v>
      </c>
      <c r="C68" s="1">
        <v>45999</v>
      </c>
      <c r="D68" s="2">
        <f>YEAR(case_study_2_data[[#This Row],[order_date]])</f>
        <v>2025</v>
      </c>
      <c r="E68" s="1" t="str">
        <f>TEXT(case_study_2_data[[#This Row],[order_date]],"rrrr-mm")</f>
        <v>2025-12</v>
      </c>
      <c r="F68" t="s">
        <v>8</v>
      </c>
      <c r="G68" s="4">
        <v>290</v>
      </c>
      <c r="H68" s="4" t="str">
        <f>IF(case_study_2_data[[#This Row],[amount]]&gt;=2000,"high_value_order",
 IF(case_study_2_data[[#This Row],[amount]]&gt;=500,"mid_value_order",
 "low_value_order"))</f>
        <v>low_value_order</v>
      </c>
      <c r="I68" t="s">
        <v>7</v>
      </c>
    </row>
    <row r="69" spans="1:9" x14ac:dyDescent="0.35">
      <c r="A69">
        <v>68</v>
      </c>
      <c r="B69">
        <v>4</v>
      </c>
      <c r="C69" s="1">
        <v>46003</v>
      </c>
      <c r="D69" s="2">
        <f>YEAR(case_study_2_data[[#This Row],[order_date]])</f>
        <v>2025</v>
      </c>
      <c r="E69" s="1" t="str">
        <f>TEXT(case_study_2_data[[#This Row],[order_date]],"rrrr-mm")</f>
        <v>2025-12</v>
      </c>
      <c r="F69" t="s">
        <v>10</v>
      </c>
      <c r="G69" s="4">
        <v>180</v>
      </c>
      <c r="H69" s="4" t="str">
        <f>IF(case_study_2_data[[#This Row],[amount]]&gt;=2000,"high_value_order",
 IF(case_study_2_data[[#This Row],[amount]]&gt;=500,"mid_value_order",
 "low_value_order"))</f>
        <v>low_value_order</v>
      </c>
      <c r="I69" t="s">
        <v>7</v>
      </c>
    </row>
    <row r="71" spans="1:9" x14ac:dyDescent="0.35">
      <c r="G71" s="3">
        <f>SUBTOTAL(3,case_study_2_data[amount])</f>
        <v>68</v>
      </c>
    </row>
    <row r="72" spans="1:9" x14ac:dyDescent="0.35">
      <c r="G72" s="4">
        <f>SUBTOTAL(9,case_study_2_data[amount])</f>
        <v>56590</v>
      </c>
      <c r="H72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1F2D1-3786-4F46-AD2B-07E143109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case_study_2_data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Meryl</dc:creator>
  <cp:lastModifiedBy>Maryla Paterek</cp:lastModifiedBy>
  <dcterms:created xsi:type="dcterms:W3CDTF">2015-06-05T18:19:34Z</dcterms:created>
  <dcterms:modified xsi:type="dcterms:W3CDTF">2026-03-31T13:12:07Z</dcterms:modified>
</cp:coreProperties>
</file>