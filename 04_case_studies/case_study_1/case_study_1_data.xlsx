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ghedupl-my.sharepoint.com/personal/paterekm_student_agh_edu_pl/Documents/Pulpit/Lukasz/case_study_1/"/>
    </mc:Choice>
  </mc:AlternateContent>
  <xr:revisionPtr revIDLastSave="68" documentId="11_AD4DADEC636C813AC809E406B05E40065BDEDD83" xr6:coauthVersionLast="47" xr6:coauthVersionMax="47" xr10:uidLastSave="{3B3E354A-80A9-4711-A98D-E0B7B32076F2}"/>
  <bookViews>
    <workbookView xWindow="-120" yWindow="-16320" windowWidth="29040" windowHeight="15720" activeTab="1" xr2:uid="{00000000-000D-0000-FFFF-FFFF00000000}"/>
  </bookViews>
  <sheets>
    <sheet name="Arkusz4" sheetId="4" r:id="rId1"/>
    <sheet name="Arkusz5" sheetId="5" r:id="rId2"/>
    <sheet name="Arkusz1" sheetId="1" r:id="rId3"/>
  </sheets>
  <definedNames>
    <definedName name="_xlnm._FilterDatabase" localSheetId="2" hidden="1">Arkusz1!$A$1:$H$31</definedName>
  </definedNames>
  <calcPr calcId="191029"/>
  <pivotCaches>
    <pivotCache cacheId="21" r:id="rId4"/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<sst xmlns="http://schemas.openxmlformats.org/spreadsheetml/2006/main" count="152" uniqueCount="55">
  <si>
    <t>transaction_id</t>
  </si>
  <si>
    <t>customer_id</t>
  </si>
  <si>
    <t>customer_name</t>
  </si>
  <si>
    <t>city</t>
  </si>
  <si>
    <t>product</t>
  </si>
  <si>
    <t>category</t>
  </si>
  <si>
    <t>amount</t>
  </si>
  <si>
    <t>transaction_date</t>
  </si>
  <si>
    <t>Anna Kowalska</t>
  </si>
  <si>
    <t>Krakow</t>
  </si>
  <si>
    <t>Laptop</t>
  </si>
  <si>
    <t>Electronics</t>
  </si>
  <si>
    <t>Jan Nowak</t>
  </si>
  <si>
    <t>Warsaw</t>
  </si>
  <si>
    <t>Mouse</t>
  </si>
  <si>
    <t>Piotr Zielinski</t>
  </si>
  <si>
    <t>Desk</t>
  </si>
  <si>
    <t>Furniture</t>
  </si>
  <si>
    <t>Maria Wisniewska</t>
  </si>
  <si>
    <t>Gdansk</t>
  </si>
  <si>
    <t>Chair</t>
  </si>
  <si>
    <t>Katarzyna Lewandowska</t>
  </si>
  <si>
    <t>Wroclaw</t>
  </si>
  <si>
    <t>Monitor</t>
  </si>
  <si>
    <t>Keyboard</t>
  </si>
  <si>
    <t>Tomasz Kaczmarek</t>
  </si>
  <si>
    <t>Poznan</t>
  </si>
  <si>
    <t>Agnieszka Mazur</t>
  </si>
  <si>
    <t>Pawel Piotrowski</t>
  </si>
  <si>
    <t>Lamp</t>
  </si>
  <si>
    <t>Headphones</t>
  </si>
  <si>
    <t>Karolina Dabrowska</t>
  </si>
  <si>
    <t>Michal Krupa</t>
  </si>
  <si>
    <t>Natalia Pawlak</t>
  </si>
  <si>
    <t>Adam Michalski</t>
  </si>
  <si>
    <t>Julia Piasecka</t>
  </si>
  <si>
    <t>Robert Wrobel</t>
  </si>
  <si>
    <t>Patrycja Ostrowska</t>
  </si>
  <si>
    <t>Mateusz Baran</t>
  </si>
  <si>
    <t>Dominika Czarnecka</t>
  </si>
  <si>
    <t>Lukasz Kubiak</t>
  </si>
  <si>
    <t>Magdalena Adamczyk</t>
  </si>
  <si>
    <t>Grzegorz Sikora</t>
  </si>
  <si>
    <t>Oliwia Dudek</t>
  </si>
  <si>
    <t>Etykiety wierszy</t>
  </si>
  <si>
    <t>Suma końcowa</t>
  </si>
  <si>
    <t>Liczba z transaction_id</t>
  </si>
  <si>
    <t>Suma z amount</t>
  </si>
  <si>
    <t>month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</si>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</sst>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yl" refreshedDate="46111.556162847221" createdVersion="8" refreshedVersion="8" minRefreshableVersion="3" recordCount="30" xr:uid="{246F0EC3-209F-47E7-A608-DF9A845FFF10}">
  <cacheSource type="worksheet">
    <worksheetSource ref="A1:H31" sheet="Arkusz1"/>
  </cacheSource>
  <cacheFields count="8">
    <cacheField name="transaction_id" numFmtId="1">
      <sharedItems containsSemiMixedTypes="0" containsString="0" containsNumber="1" containsInteger="1" minValue="1" maxValue="30"/>
    </cacheField>
    <cacheField name="customer_id" numFmtId="1">
      <sharedItems containsSemiMixedTypes="0" containsString="0" containsNumber="1" containsInteger="1" minValue="101" maxValue="121"/>
    </cacheField>
    <cacheField name="customer_name" numFmtId="0">
      <sharedItems/>
    </cacheField>
    <cacheField name="city" numFmtId="0">
      <sharedItems/>
    </cacheField>
    <cacheField name="product" numFmtId="0">
      <sharedItems count="8">
        <s v="Laptop"/>
        <s v="Mouse"/>
        <s v="Desk"/>
        <s v="Chair"/>
        <s v="Monitor"/>
        <s v="Keyboard"/>
        <s v="Lamp"/>
        <s v="Headphones"/>
      </sharedItems>
    </cacheField>
    <cacheField name="category" numFmtId="0">
      <sharedItems count="2">
        <s v="Electronics"/>
        <s v="Furniture"/>
      </sharedItems>
    </cacheField>
    <cacheField name="amount" numFmtId="2">
      <sharedItems containsSemiMixedTypes="0" containsString="0" containsNumber="1" containsInteger="1" minValue="120" maxValue="4500"/>
    </cacheField>
    <cacheField name="transaction_date" numFmtId="14">
      <sharedItems containsSemiMixedTypes="0" containsNonDate="0" containsDate="1" containsString="0" minDate="2025-01-05T00:00:00" maxDate="2025-06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yl" refreshedDate="46111.59007928241" createdVersion="8" refreshedVersion="8" minRefreshableVersion="3" recordCount="30" xr:uid="{7FCE2811-C882-47FF-A7DF-7E3C8FA7F69B}">
  <cacheSource type="worksheet">
    <worksheetSource ref="A1:I31" sheet="Arkusz1"/>
  </cacheSource>
  <cacheFields count="9">
    <cacheField name="transaction_id" numFmtId="1">
      <sharedItems containsSemiMixedTypes="0" containsString="0" containsNumber="1" containsInteger="1" minValue="1" maxValue="30"/>
    </cacheField>
    <cacheField name="customer_id" numFmtId="1">
      <sharedItems containsSemiMixedTypes="0" containsString="0" containsNumber="1" containsInteger="1" minValue="101" maxValue="121"/>
    </cacheField>
    <cacheField name="customer_name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/>
    </cacheField>
    <cacheField name="amount" numFmtId="2">
      <sharedItems containsSemiMixedTypes="0" containsString="0" containsNumber="1" containsInteger="1" minValue="120" maxValue="4500"/>
    </cacheField>
    <cacheField name="transaction_date" numFmtId="14">
      <sharedItems containsSemiMixedTypes="0" containsNonDate="0" containsDate="1" containsString="0" minDate="2025-01-05T00:00:00" maxDate="2025-06-26T00:00:00"/>
    </cacheField>
    <cacheField name="month" numFmtId="0">
      <sharedItems count="6">
        <s v="2025-01"/>
        <s v="2025-02"/>
        <s v="2025-03"/>
        <s v="2025-04"/>
        <s v="2025-05"/>
        <s v="2025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n v="101"/>
    <s v="Anna Kowalska"/>
    <s v="Krakow"/>
    <x v="0"/>
    <x v="0"/>
    <n v="4200"/>
    <d v="2025-01-05T00:00:00"/>
  </r>
  <r>
    <n v="2"/>
    <n v="102"/>
    <s v="Jan Nowak"/>
    <s v="Warsaw"/>
    <x v="1"/>
    <x v="0"/>
    <n v="120"/>
    <d v="2025-01-07T00:00:00"/>
  </r>
  <r>
    <n v="3"/>
    <n v="103"/>
    <s v="Piotr Zielinski"/>
    <s v="Krakow"/>
    <x v="2"/>
    <x v="1"/>
    <n v="850"/>
    <d v="2025-01-12T00:00:00"/>
  </r>
  <r>
    <n v="4"/>
    <n v="104"/>
    <s v="Maria Wisniewska"/>
    <s v="Gdansk"/>
    <x v="3"/>
    <x v="1"/>
    <n v="430"/>
    <d v="2025-01-15T00:00:00"/>
  </r>
  <r>
    <n v="5"/>
    <n v="105"/>
    <s v="Katarzyna Lewandowska"/>
    <s v="Wroclaw"/>
    <x v="4"/>
    <x v="0"/>
    <n v="980"/>
    <d v="2025-01-20T00:00:00"/>
  </r>
  <r>
    <n v="6"/>
    <n v="101"/>
    <s v="Anna Kowalska"/>
    <s v="Krakow"/>
    <x v="5"/>
    <x v="0"/>
    <n v="260"/>
    <d v="2025-02-02T00:00:00"/>
  </r>
  <r>
    <n v="7"/>
    <n v="106"/>
    <s v="Tomasz Kaczmarek"/>
    <s v="Poznan"/>
    <x v="2"/>
    <x v="1"/>
    <n v="920"/>
    <d v="2025-02-05T00:00:00"/>
  </r>
  <r>
    <n v="8"/>
    <n v="107"/>
    <s v="Agnieszka Mazur"/>
    <s v="Warsaw"/>
    <x v="0"/>
    <x v="0"/>
    <n v="3900"/>
    <d v="2025-02-11T00:00:00"/>
  </r>
  <r>
    <n v="9"/>
    <n v="108"/>
    <s v="Pawel Piotrowski"/>
    <s v="Krakow"/>
    <x v="6"/>
    <x v="1"/>
    <n v="210"/>
    <d v="2025-02-18T00:00:00"/>
  </r>
  <r>
    <n v="10"/>
    <n v="102"/>
    <s v="Jan Nowak"/>
    <s v="Warsaw"/>
    <x v="7"/>
    <x v="0"/>
    <n v="540"/>
    <d v="2025-02-22T00:00:00"/>
  </r>
  <r>
    <n v="11"/>
    <n v="109"/>
    <s v="Karolina Dabrowska"/>
    <s v="Gdansk"/>
    <x v="3"/>
    <x v="1"/>
    <n v="470"/>
    <d v="2025-03-01T00:00:00"/>
  </r>
  <r>
    <n v="12"/>
    <n v="103"/>
    <s v="Piotr Zielinski"/>
    <s v="Krakow"/>
    <x v="4"/>
    <x v="0"/>
    <n v="1100"/>
    <d v="2025-03-03T00:00:00"/>
  </r>
  <r>
    <n v="13"/>
    <n v="110"/>
    <s v="Michal Krupa"/>
    <s v="Wroclaw"/>
    <x v="2"/>
    <x v="1"/>
    <n v="880"/>
    <d v="2025-03-10T00:00:00"/>
  </r>
  <r>
    <n v="14"/>
    <n v="105"/>
    <s v="Katarzyna Lewandowska"/>
    <s v="Wroclaw"/>
    <x v="0"/>
    <x v="0"/>
    <n v="4100"/>
    <d v="2025-03-12T00:00:00"/>
  </r>
  <r>
    <n v="15"/>
    <n v="111"/>
    <s v="Natalia Pawlak"/>
    <s v="Poznan"/>
    <x v="1"/>
    <x v="0"/>
    <n v="150"/>
    <d v="2025-03-18T00:00:00"/>
  </r>
  <r>
    <n v="16"/>
    <n v="112"/>
    <s v="Adam Michalski"/>
    <s v="Krakow"/>
    <x v="3"/>
    <x v="1"/>
    <n v="390"/>
    <d v="2025-04-02T00:00:00"/>
  </r>
  <r>
    <n v="17"/>
    <n v="101"/>
    <s v="Anna Kowalska"/>
    <s v="Krakow"/>
    <x v="4"/>
    <x v="0"/>
    <n v="990"/>
    <d v="2025-04-05T00:00:00"/>
  </r>
  <r>
    <n v="18"/>
    <n v="113"/>
    <s v="Julia Piasecka"/>
    <s v="Warsaw"/>
    <x v="2"/>
    <x v="1"/>
    <n v="970"/>
    <d v="2025-04-11T00:00:00"/>
  </r>
  <r>
    <n v="19"/>
    <n v="114"/>
    <s v="Robert Wrobel"/>
    <s v="Gdansk"/>
    <x v="0"/>
    <x v="0"/>
    <n v="4500"/>
    <d v="2025-04-19T00:00:00"/>
  </r>
  <r>
    <n v="20"/>
    <n v="115"/>
    <s v="Patrycja Ostrowska"/>
    <s v="Poznan"/>
    <x v="6"/>
    <x v="1"/>
    <n v="240"/>
    <d v="2025-04-21T00:00:00"/>
  </r>
  <r>
    <n v="21"/>
    <n v="108"/>
    <s v="Pawel Piotrowski"/>
    <s v="Krakow"/>
    <x v="5"/>
    <x v="0"/>
    <n v="300"/>
    <d v="2025-05-04T00:00:00"/>
  </r>
  <r>
    <n v="22"/>
    <n v="116"/>
    <s v="Mateusz Baran"/>
    <s v="Wroclaw"/>
    <x v="2"/>
    <x v="1"/>
    <n v="910"/>
    <d v="2025-05-06T00:00:00"/>
  </r>
  <r>
    <n v="23"/>
    <n v="102"/>
    <s v="Jan Nowak"/>
    <s v="Warsaw"/>
    <x v="4"/>
    <x v="0"/>
    <n v="1050"/>
    <d v="2025-05-14T00:00:00"/>
  </r>
  <r>
    <n v="24"/>
    <n v="117"/>
    <s v="Dominika Czarnecka"/>
    <s v="Gdansk"/>
    <x v="3"/>
    <x v="1"/>
    <n v="410"/>
    <d v="2025-05-18T00:00:00"/>
  </r>
  <r>
    <n v="25"/>
    <n v="118"/>
    <s v="Lukasz Kubiak"/>
    <s v="Poznan"/>
    <x v="0"/>
    <x v="0"/>
    <n v="4300"/>
    <d v="2025-05-22T00:00:00"/>
  </r>
  <r>
    <n v="26"/>
    <n v="119"/>
    <s v="Magdalena Adamczyk"/>
    <s v="Krakow"/>
    <x v="6"/>
    <x v="1"/>
    <n v="260"/>
    <d v="2025-06-01T00:00:00"/>
  </r>
  <r>
    <n v="27"/>
    <n v="103"/>
    <s v="Piotr Zielinski"/>
    <s v="Krakow"/>
    <x v="1"/>
    <x v="0"/>
    <n v="130"/>
    <d v="2025-06-07T00:00:00"/>
  </r>
  <r>
    <n v="28"/>
    <n v="120"/>
    <s v="Grzegorz Sikora"/>
    <s v="Warsaw"/>
    <x v="2"/>
    <x v="1"/>
    <n v="940"/>
    <d v="2025-06-15T00:00:00"/>
  </r>
  <r>
    <n v="29"/>
    <n v="105"/>
    <s v="Katarzyna Lewandowska"/>
    <s v="Wroclaw"/>
    <x v="7"/>
    <x v="0"/>
    <n v="620"/>
    <d v="2025-06-18T00:00:00"/>
  </r>
  <r>
    <n v="30"/>
    <n v="121"/>
    <s v="Oliwia Dudek"/>
    <s v="Gdansk"/>
    <x v="3"/>
    <x v="1"/>
    <n v="450"/>
    <d v="2025-06-2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n v="101"/>
    <s v="Anna Kowalska"/>
    <s v="Krakow"/>
    <s v="Laptop"/>
    <s v="Electronics"/>
    <n v="4200"/>
    <d v="2025-01-05T00:00:00"/>
    <x v="0"/>
  </r>
  <r>
    <n v="2"/>
    <n v="102"/>
    <s v="Jan Nowak"/>
    <s v="Warsaw"/>
    <s v="Mouse"/>
    <s v="Electronics"/>
    <n v="120"/>
    <d v="2025-01-07T00:00:00"/>
    <x v="0"/>
  </r>
  <r>
    <n v="3"/>
    <n v="103"/>
    <s v="Piotr Zielinski"/>
    <s v="Krakow"/>
    <s v="Desk"/>
    <s v="Furniture"/>
    <n v="850"/>
    <d v="2025-01-12T00:00:00"/>
    <x v="0"/>
  </r>
  <r>
    <n v="4"/>
    <n v="104"/>
    <s v="Maria Wisniewska"/>
    <s v="Gdansk"/>
    <s v="Chair"/>
    <s v="Furniture"/>
    <n v="430"/>
    <d v="2025-01-15T00:00:00"/>
    <x v="0"/>
  </r>
  <r>
    <n v="5"/>
    <n v="105"/>
    <s v="Katarzyna Lewandowska"/>
    <s v="Wroclaw"/>
    <s v="Monitor"/>
    <s v="Electronics"/>
    <n v="980"/>
    <d v="2025-01-20T00:00:00"/>
    <x v="0"/>
  </r>
  <r>
    <n v="6"/>
    <n v="101"/>
    <s v="Anna Kowalska"/>
    <s v="Krakow"/>
    <s v="Keyboard"/>
    <s v="Electronics"/>
    <n v="260"/>
    <d v="2025-02-02T00:00:00"/>
    <x v="1"/>
  </r>
  <r>
    <n v="7"/>
    <n v="106"/>
    <s v="Tomasz Kaczmarek"/>
    <s v="Poznan"/>
    <s v="Desk"/>
    <s v="Furniture"/>
    <n v="920"/>
    <d v="2025-02-05T00:00:00"/>
    <x v="1"/>
  </r>
  <r>
    <n v="8"/>
    <n v="107"/>
    <s v="Agnieszka Mazur"/>
    <s v="Warsaw"/>
    <s v="Laptop"/>
    <s v="Electronics"/>
    <n v="3900"/>
    <d v="2025-02-11T00:00:00"/>
    <x v="1"/>
  </r>
  <r>
    <n v="9"/>
    <n v="108"/>
    <s v="Pawel Piotrowski"/>
    <s v="Krakow"/>
    <s v="Lamp"/>
    <s v="Furniture"/>
    <n v="210"/>
    <d v="2025-02-18T00:00:00"/>
    <x v="1"/>
  </r>
  <r>
    <n v="10"/>
    <n v="102"/>
    <s v="Jan Nowak"/>
    <s v="Warsaw"/>
    <s v="Headphones"/>
    <s v="Electronics"/>
    <n v="540"/>
    <d v="2025-02-22T00:00:00"/>
    <x v="1"/>
  </r>
  <r>
    <n v="11"/>
    <n v="109"/>
    <s v="Karolina Dabrowska"/>
    <s v="Gdansk"/>
    <s v="Chair"/>
    <s v="Furniture"/>
    <n v="470"/>
    <d v="2025-03-01T00:00:00"/>
    <x v="2"/>
  </r>
  <r>
    <n v="12"/>
    <n v="103"/>
    <s v="Piotr Zielinski"/>
    <s v="Krakow"/>
    <s v="Monitor"/>
    <s v="Electronics"/>
    <n v="1100"/>
    <d v="2025-03-03T00:00:00"/>
    <x v="2"/>
  </r>
  <r>
    <n v="13"/>
    <n v="110"/>
    <s v="Michal Krupa"/>
    <s v="Wroclaw"/>
    <s v="Desk"/>
    <s v="Furniture"/>
    <n v="880"/>
    <d v="2025-03-10T00:00:00"/>
    <x v="2"/>
  </r>
  <r>
    <n v="14"/>
    <n v="105"/>
    <s v="Katarzyna Lewandowska"/>
    <s v="Wroclaw"/>
    <s v="Laptop"/>
    <s v="Electronics"/>
    <n v="4100"/>
    <d v="2025-03-12T00:00:00"/>
    <x v="2"/>
  </r>
  <r>
    <n v="15"/>
    <n v="111"/>
    <s v="Natalia Pawlak"/>
    <s v="Poznan"/>
    <s v="Mouse"/>
    <s v="Electronics"/>
    <n v="150"/>
    <d v="2025-03-18T00:00:00"/>
    <x v="2"/>
  </r>
  <r>
    <n v="16"/>
    <n v="112"/>
    <s v="Adam Michalski"/>
    <s v="Krakow"/>
    <s v="Chair"/>
    <s v="Furniture"/>
    <n v="390"/>
    <d v="2025-04-02T00:00:00"/>
    <x v="3"/>
  </r>
  <r>
    <n v="17"/>
    <n v="101"/>
    <s v="Anna Kowalska"/>
    <s v="Krakow"/>
    <s v="Monitor"/>
    <s v="Electronics"/>
    <n v="990"/>
    <d v="2025-04-05T00:00:00"/>
    <x v="3"/>
  </r>
  <r>
    <n v="18"/>
    <n v="113"/>
    <s v="Julia Piasecka"/>
    <s v="Warsaw"/>
    <s v="Desk"/>
    <s v="Furniture"/>
    <n v="970"/>
    <d v="2025-04-11T00:00:00"/>
    <x v="3"/>
  </r>
  <r>
    <n v="19"/>
    <n v="114"/>
    <s v="Robert Wrobel"/>
    <s v="Gdansk"/>
    <s v="Laptop"/>
    <s v="Electronics"/>
    <n v="4500"/>
    <d v="2025-04-19T00:00:00"/>
    <x v="3"/>
  </r>
  <r>
    <n v="20"/>
    <n v="115"/>
    <s v="Patrycja Ostrowska"/>
    <s v="Poznan"/>
    <s v="Lamp"/>
    <s v="Furniture"/>
    <n v="240"/>
    <d v="2025-04-21T00:00:00"/>
    <x v="3"/>
  </r>
  <r>
    <n v="21"/>
    <n v="108"/>
    <s v="Pawel Piotrowski"/>
    <s v="Krakow"/>
    <s v="Keyboard"/>
    <s v="Electronics"/>
    <n v="300"/>
    <d v="2025-05-04T00:00:00"/>
    <x v="4"/>
  </r>
  <r>
    <n v="22"/>
    <n v="116"/>
    <s v="Mateusz Baran"/>
    <s v="Wroclaw"/>
    <s v="Desk"/>
    <s v="Furniture"/>
    <n v="910"/>
    <d v="2025-05-06T00:00:00"/>
    <x v="4"/>
  </r>
  <r>
    <n v="23"/>
    <n v="102"/>
    <s v="Jan Nowak"/>
    <s v="Warsaw"/>
    <s v="Monitor"/>
    <s v="Electronics"/>
    <n v="1050"/>
    <d v="2025-05-14T00:00:00"/>
    <x v="4"/>
  </r>
  <r>
    <n v="24"/>
    <n v="117"/>
    <s v="Dominika Czarnecka"/>
    <s v="Gdansk"/>
    <s v="Chair"/>
    <s v="Furniture"/>
    <n v="410"/>
    <d v="2025-05-18T00:00:00"/>
    <x v="4"/>
  </r>
  <r>
    <n v="25"/>
    <n v="118"/>
    <s v="Lukasz Kubiak"/>
    <s v="Poznan"/>
    <s v="Laptop"/>
    <s v="Electronics"/>
    <n v="4300"/>
    <d v="2025-05-22T00:00:00"/>
    <x v="4"/>
  </r>
  <r>
    <n v="26"/>
    <n v="119"/>
    <s v="Magdalena Adamczyk"/>
    <s v="Krakow"/>
    <s v="Lamp"/>
    <s v="Furniture"/>
    <n v="260"/>
    <d v="2025-06-01T00:00:00"/>
    <x v="5"/>
  </r>
  <r>
    <n v="27"/>
    <n v="103"/>
    <s v="Piotr Zielinski"/>
    <s v="Krakow"/>
    <s v="Mouse"/>
    <s v="Electronics"/>
    <n v="130"/>
    <d v="2025-06-07T00:00:00"/>
    <x v="5"/>
  </r>
  <r>
    <n v="28"/>
    <n v="120"/>
    <s v="Grzegorz Sikora"/>
    <s v="Warsaw"/>
    <s v="Desk"/>
    <s v="Furniture"/>
    <n v="940"/>
    <d v="2025-06-15T00:00:00"/>
    <x v="5"/>
  </r>
  <r>
    <n v="29"/>
    <n v="105"/>
    <s v="Katarzyna Lewandowska"/>
    <s v="Wroclaw"/>
    <s v="Headphones"/>
    <s v="Electronics"/>
    <n v="620"/>
    <d v="2025-06-18T00:00:00"/>
    <x v="5"/>
  </r>
  <r>
    <n v="30"/>
    <n v="121"/>
    <s v="Oliwia Dudek"/>
    <s v="Gdansk"/>
    <s v="Chair"/>
    <s v="Furniture"/>
    <n v="450"/>
    <d v="2025-06-25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9B2A5-1B0F-4CE3-93EF-045EDE369CD1}" name="Tabela przestawna3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C14" firstHeaderRow="0" firstDataRow="1" firstDataCol="1"/>
  <pivotFields count="8">
    <pivotField dataField="1" numFmtId="1" showAll="0"/>
    <pivotField numFmtId="1" showAll="0"/>
    <pivotField showAll="0"/>
    <pivotField showAll="0"/>
    <pivotField axis="axisRow" showAll="0">
      <items count="9">
        <item x="3"/>
        <item x="2"/>
        <item x="7"/>
        <item x="5"/>
        <item x="6"/>
        <item x="0"/>
        <item x="4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14" showAll="0"/>
  </pivotFields>
  <rowFields count="2">
    <field x="5"/>
    <field x="4"/>
  </rowFields>
  <rowItems count="11">
    <i>
      <x/>
    </i>
    <i r="1">
      <x v="2"/>
    </i>
    <i r="1">
      <x v="3"/>
    </i>
    <i r="1">
      <x v="5"/>
    </i>
    <i r="1">
      <x v="6"/>
    </i>
    <i r="1">
      <x v="7"/>
    </i>
    <i>
      <x v="1"/>
    </i>
    <i r="1">
      <x/>
    </i>
    <i r="1">
      <x v="1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amount" fld="6" baseField="5" baseItem="0"/>
    <dataField name="Liczba z transaction_id" fld="0" subtotal="count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8A74D-A5F2-4B1A-977B-83486D1BF8A8}" name="Tabela przestawna4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numFmtId="1" showAll="0"/>
    <pivotField numFmtId="1" showAll="0"/>
    <pivotField showAll="0"/>
    <pivotField showAll="0"/>
    <pivotField showAll="0"/>
    <pivotField showAll="0"/>
    <pivotField dataField="1" numFmtId="2" showAll="0"/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amount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A50D-6DB2-4BBC-82A7-A2F7B13B05F3}">
  <dimension ref="A3:C14"/>
  <sheetViews>
    <sheetView workbookViewId="0">
      <selection activeCell="D29" sqref="D29"/>
    </sheetView>
  </sheetViews>
  <sheetFormatPr defaultRowHeight="14.5" x14ac:dyDescent="0.35"/>
  <cols>
    <col min="1" max="1" width="17" bestFit="1" customWidth="1"/>
    <col min="2" max="2" width="18.453125" customWidth="1"/>
    <col min="3" max="3" width="19.90625" bestFit="1" customWidth="1"/>
  </cols>
  <sheetData>
    <row r="3" spans="1:3" x14ac:dyDescent="0.35">
      <c r="A3" s="3" t="s">
        <v>44</v>
      </c>
      <c r="B3" t="s">
        <v>47</v>
      </c>
      <c r="C3" t="s">
        <v>46</v>
      </c>
    </row>
    <row r="4" spans="1:3" x14ac:dyDescent="0.35">
      <c r="A4" s="1" t="s">
        <v>11</v>
      </c>
      <c r="B4" s="5">
        <v>27240</v>
      </c>
      <c r="C4" s="5">
        <v>16</v>
      </c>
    </row>
    <row r="5" spans="1:3" x14ac:dyDescent="0.35">
      <c r="A5" s="4" t="s">
        <v>30</v>
      </c>
      <c r="B5" s="5">
        <v>1160</v>
      </c>
      <c r="C5" s="5">
        <v>2</v>
      </c>
    </row>
    <row r="6" spans="1:3" x14ac:dyDescent="0.35">
      <c r="A6" s="4" t="s">
        <v>24</v>
      </c>
      <c r="B6" s="5">
        <v>560</v>
      </c>
      <c r="C6" s="5">
        <v>2</v>
      </c>
    </row>
    <row r="7" spans="1:3" x14ac:dyDescent="0.35">
      <c r="A7" s="4" t="s">
        <v>10</v>
      </c>
      <c r="B7" s="5">
        <v>21000</v>
      </c>
      <c r="C7" s="5">
        <v>5</v>
      </c>
    </row>
    <row r="8" spans="1:3" x14ac:dyDescent="0.35">
      <c r="A8" s="4" t="s">
        <v>23</v>
      </c>
      <c r="B8" s="5">
        <v>4120</v>
      </c>
      <c r="C8" s="5">
        <v>4</v>
      </c>
    </row>
    <row r="9" spans="1:3" x14ac:dyDescent="0.35">
      <c r="A9" s="4" t="s">
        <v>14</v>
      </c>
      <c r="B9" s="5">
        <v>400</v>
      </c>
      <c r="C9" s="5">
        <v>3</v>
      </c>
    </row>
    <row r="10" spans="1:3" x14ac:dyDescent="0.35">
      <c r="A10" s="1" t="s">
        <v>17</v>
      </c>
      <c r="B10" s="5">
        <v>8330</v>
      </c>
      <c r="C10" s="5">
        <v>14</v>
      </c>
    </row>
    <row r="11" spans="1:3" x14ac:dyDescent="0.35">
      <c r="A11" s="4" t="s">
        <v>20</v>
      </c>
      <c r="B11" s="5">
        <v>2150</v>
      </c>
      <c r="C11" s="5">
        <v>5</v>
      </c>
    </row>
    <row r="12" spans="1:3" x14ac:dyDescent="0.35">
      <c r="A12" s="4" t="s">
        <v>16</v>
      </c>
      <c r="B12" s="5">
        <v>5470</v>
      </c>
      <c r="C12" s="5">
        <v>6</v>
      </c>
    </row>
    <row r="13" spans="1:3" x14ac:dyDescent="0.35">
      <c r="A13" s="4" t="s">
        <v>29</v>
      </c>
      <c r="B13" s="5">
        <v>710</v>
      </c>
      <c r="C13" s="5">
        <v>3</v>
      </c>
    </row>
    <row r="14" spans="1:3" x14ac:dyDescent="0.35">
      <c r="A14" s="1" t="s">
        <v>45</v>
      </c>
      <c r="B14" s="5">
        <v>35570</v>
      </c>
      <c r="C14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6A95-6AE8-4E8F-A205-C17224451F80}">
  <dimension ref="A3:B10"/>
  <sheetViews>
    <sheetView tabSelected="1" workbookViewId="0">
      <selection activeCell="A3" sqref="A3"/>
    </sheetView>
  </sheetViews>
  <sheetFormatPr defaultRowHeight="14.5" x14ac:dyDescent="0.35"/>
  <cols>
    <col min="1" max="1" width="17" bestFit="1" customWidth="1"/>
    <col min="2" max="2" width="13.90625" bestFit="1" customWidth="1"/>
  </cols>
  <sheetData>
    <row r="3" spans="1:2" x14ac:dyDescent="0.35">
      <c r="A3" s="3" t="s">
        <v>44</v>
      </c>
      <c r="B3" t="s">
        <v>47</v>
      </c>
    </row>
    <row r="4" spans="1:2" x14ac:dyDescent="0.35">
      <c r="A4" s="1" t="s">
        <v>49</v>
      </c>
      <c r="B4" s="6">
        <v>6580</v>
      </c>
    </row>
    <row r="5" spans="1:2" x14ac:dyDescent="0.35">
      <c r="A5" s="1" t="s">
        <v>50</v>
      </c>
      <c r="B5" s="6">
        <v>5830</v>
      </c>
    </row>
    <row r="6" spans="1:2" x14ac:dyDescent="0.35">
      <c r="A6" s="1" t="s">
        <v>51</v>
      </c>
      <c r="B6" s="6">
        <v>6700</v>
      </c>
    </row>
    <row r="7" spans="1:2" x14ac:dyDescent="0.35">
      <c r="A7" s="1" t="s">
        <v>52</v>
      </c>
      <c r="B7" s="6">
        <v>7090</v>
      </c>
    </row>
    <row r="8" spans="1:2" x14ac:dyDescent="0.35">
      <c r="A8" s="1" t="s">
        <v>53</v>
      </c>
      <c r="B8" s="6">
        <v>6970</v>
      </c>
    </row>
    <row r="9" spans="1:2" x14ac:dyDescent="0.35">
      <c r="A9" s="1" t="s">
        <v>54</v>
      </c>
      <c r="B9" s="6">
        <v>2400</v>
      </c>
    </row>
    <row r="10" spans="1:2" x14ac:dyDescent="0.35">
      <c r="A10" s="1" t="s">
        <v>45</v>
      </c>
      <c r="B10" s="6">
        <v>35570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I1" sqref="A1:I31"/>
    </sheetView>
  </sheetViews>
  <sheetFormatPr defaultRowHeight="14.5" x14ac:dyDescent="0.35"/>
  <cols>
    <col min="1" max="2" width="17.90625" customWidth="1"/>
    <col min="3" max="3" width="22.1796875" customWidth="1"/>
    <col min="4" max="8" width="17.90625" customWidth="1"/>
    <col min="9" max="9" width="16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</v>
      </c>
    </row>
    <row r="2" spans="1:9" x14ac:dyDescent="0.35">
      <c r="A2" s="8">
        <v>1</v>
      </c>
      <c r="B2" s="8">
        <v>101</v>
      </c>
      <c r="C2" s="1" t="s">
        <v>8</v>
      </c>
      <c r="D2" s="1" t="s">
        <v>9</v>
      </c>
      <c r="E2" s="1" t="s">
        <v>10</v>
      </c>
      <c r="F2" s="1" t="s">
        <v>11</v>
      </c>
      <c r="G2" s="7">
        <v>4200</v>
      </c>
      <c r="H2" s="2">
        <v>45662</v>
      </c>
      <c r="I2" t="str">
        <f>TEXT(H2,"rrrr-mm")</f>
        <v>2025-01</v>
      </c>
    </row>
    <row r="3" spans="1:9" x14ac:dyDescent="0.35">
      <c r="A3" s="8">
        <v>2</v>
      </c>
      <c r="B3" s="8">
        <v>102</v>
      </c>
      <c r="C3" s="1" t="s">
        <v>12</v>
      </c>
      <c r="D3" s="1" t="s">
        <v>13</v>
      </c>
      <c r="E3" s="1" t="s">
        <v>14</v>
      </c>
      <c r="F3" s="1" t="s">
        <v>11</v>
      </c>
      <c r="G3" s="7">
        <v>120</v>
      </c>
      <c r="H3" s="2">
        <v>45664</v>
      </c>
      <c r="I3" t="str">
        <f t="shared" ref="I3:I31" si="0">TEXT(H3,"rrrr-mm")</f>
        <v>2025-01</v>
      </c>
    </row>
    <row r="4" spans="1:9" x14ac:dyDescent="0.35">
      <c r="A4" s="8">
        <v>3</v>
      </c>
      <c r="B4" s="8">
        <v>103</v>
      </c>
      <c r="C4" s="1" t="s">
        <v>15</v>
      </c>
      <c r="D4" s="1" t="s">
        <v>9</v>
      </c>
      <c r="E4" s="1" t="s">
        <v>16</v>
      </c>
      <c r="F4" s="1" t="s">
        <v>17</v>
      </c>
      <c r="G4" s="7">
        <v>850</v>
      </c>
      <c r="H4" s="2">
        <v>45669</v>
      </c>
      <c r="I4" t="str">
        <f t="shared" si="0"/>
        <v>2025-01</v>
      </c>
    </row>
    <row r="5" spans="1:9" x14ac:dyDescent="0.35">
      <c r="A5" s="8">
        <v>4</v>
      </c>
      <c r="B5" s="8">
        <v>104</v>
      </c>
      <c r="C5" s="1" t="s">
        <v>18</v>
      </c>
      <c r="D5" s="1" t="s">
        <v>19</v>
      </c>
      <c r="E5" s="1" t="s">
        <v>20</v>
      </c>
      <c r="F5" s="1" t="s">
        <v>17</v>
      </c>
      <c r="G5" s="7">
        <v>430</v>
      </c>
      <c r="H5" s="2">
        <v>45672</v>
      </c>
      <c r="I5" t="str">
        <f t="shared" si="0"/>
        <v>2025-01</v>
      </c>
    </row>
    <row r="6" spans="1:9" x14ac:dyDescent="0.35">
      <c r="A6" s="8">
        <v>5</v>
      </c>
      <c r="B6" s="8">
        <v>105</v>
      </c>
      <c r="C6" s="1" t="s">
        <v>21</v>
      </c>
      <c r="D6" s="1" t="s">
        <v>22</v>
      </c>
      <c r="E6" s="1" t="s">
        <v>23</v>
      </c>
      <c r="F6" s="1" t="s">
        <v>11</v>
      </c>
      <c r="G6" s="7">
        <v>980</v>
      </c>
      <c r="H6" s="2">
        <v>45677</v>
      </c>
      <c r="I6" t="str">
        <f t="shared" si="0"/>
        <v>2025-01</v>
      </c>
    </row>
    <row r="7" spans="1:9" x14ac:dyDescent="0.35">
      <c r="A7" s="8">
        <v>6</v>
      </c>
      <c r="B7" s="8">
        <v>101</v>
      </c>
      <c r="C7" s="1" t="s">
        <v>8</v>
      </c>
      <c r="D7" s="1" t="s">
        <v>9</v>
      </c>
      <c r="E7" s="1" t="s">
        <v>24</v>
      </c>
      <c r="F7" s="1" t="s">
        <v>11</v>
      </c>
      <c r="G7" s="7">
        <v>260</v>
      </c>
      <c r="H7" s="2">
        <v>45690</v>
      </c>
      <c r="I7" t="str">
        <f t="shared" si="0"/>
        <v>2025-02</v>
      </c>
    </row>
    <row r="8" spans="1:9" x14ac:dyDescent="0.35">
      <c r="A8" s="8">
        <v>7</v>
      </c>
      <c r="B8" s="8">
        <v>106</v>
      </c>
      <c r="C8" s="1" t="s">
        <v>25</v>
      </c>
      <c r="D8" s="1" t="s">
        <v>26</v>
      </c>
      <c r="E8" s="1" t="s">
        <v>16</v>
      </c>
      <c r="F8" s="1" t="s">
        <v>17</v>
      </c>
      <c r="G8" s="7">
        <v>920</v>
      </c>
      <c r="H8" s="2">
        <v>45693</v>
      </c>
      <c r="I8" t="str">
        <f t="shared" si="0"/>
        <v>2025-02</v>
      </c>
    </row>
    <row r="9" spans="1:9" x14ac:dyDescent="0.35">
      <c r="A9" s="8">
        <v>8</v>
      </c>
      <c r="B9" s="8">
        <v>107</v>
      </c>
      <c r="C9" s="1" t="s">
        <v>27</v>
      </c>
      <c r="D9" s="1" t="s">
        <v>13</v>
      </c>
      <c r="E9" s="1" t="s">
        <v>10</v>
      </c>
      <c r="F9" s="1" t="s">
        <v>11</v>
      </c>
      <c r="G9" s="7">
        <v>3900</v>
      </c>
      <c r="H9" s="2">
        <v>45699</v>
      </c>
      <c r="I9" t="str">
        <f t="shared" si="0"/>
        <v>2025-02</v>
      </c>
    </row>
    <row r="10" spans="1:9" x14ac:dyDescent="0.35">
      <c r="A10" s="8">
        <v>9</v>
      </c>
      <c r="B10" s="8">
        <v>108</v>
      </c>
      <c r="C10" s="1" t="s">
        <v>28</v>
      </c>
      <c r="D10" s="1" t="s">
        <v>9</v>
      </c>
      <c r="E10" s="1" t="s">
        <v>29</v>
      </c>
      <c r="F10" s="1" t="s">
        <v>17</v>
      </c>
      <c r="G10" s="7">
        <v>210</v>
      </c>
      <c r="H10" s="2">
        <v>45706</v>
      </c>
      <c r="I10" t="str">
        <f t="shared" si="0"/>
        <v>2025-02</v>
      </c>
    </row>
    <row r="11" spans="1:9" x14ac:dyDescent="0.35">
      <c r="A11" s="8">
        <v>10</v>
      </c>
      <c r="B11" s="8">
        <v>102</v>
      </c>
      <c r="C11" s="1" t="s">
        <v>12</v>
      </c>
      <c r="D11" s="1" t="s">
        <v>13</v>
      </c>
      <c r="E11" s="1" t="s">
        <v>30</v>
      </c>
      <c r="F11" s="1" t="s">
        <v>11</v>
      </c>
      <c r="G11" s="7">
        <v>540</v>
      </c>
      <c r="H11" s="2">
        <v>45710</v>
      </c>
      <c r="I11" t="str">
        <f t="shared" si="0"/>
        <v>2025-02</v>
      </c>
    </row>
    <row r="12" spans="1:9" x14ac:dyDescent="0.35">
      <c r="A12" s="8">
        <v>11</v>
      </c>
      <c r="B12" s="8">
        <v>109</v>
      </c>
      <c r="C12" s="1" t="s">
        <v>31</v>
      </c>
      <c r="D12" s="1" t="s">
        <v>19</v>
      </c>
      <c r="E12" s="1" t="s">
        <v>20</v>
      </c>
      <c r="F12" s="1" t="s">
        <v>17</v>
      </c>
      <c r="G12" s="7">
        <v>470</v>
      </c>
      <c r="H12" s="2">
        <v>45717</v>
      </c>
      <c r="I12" t="str">
        <f t="shared" si="0"/>
        <v>2025-03</v>
      </c>
    </row>
    <row r="13" spans="1:9" x14ac:dyDescent="0.35">
      <c r="A13" s="8">
        <v>12</v>
      </c>
      <c r="B13" s="8">
        <v>103</v>
      </c>
      <c r="C13" s="1" t="s">
        <v>15</v>
      </c>
      <c r="D13" s="1" t="s">
        <v>9</v>
      </c>
      <c r="E13" s="1" t="s">
        <v>23</v>
      </c>
      <c r="F13" s="1" t="s">
        <v>11</v>
      </c>
      <c r="G13" s="7">
        <v>1100</v>
      </c>
      <c r="H13" s="2">
        <v>45719</v>
      </c>
      <c r="I13" t="str">
        <f t="shared" si="0"/>
        <v>2025-03</v>
      </c>
    </row>
    <row r="14" spans="1:9" x14ac:dyDescent="0.35">
      <c r="A14" s="8">
        <v>13</v>
      </c>
      <c r="B14" s="8">
        <v>110</v>
      </c>
      <c r="C14" s="1" t="s">
        <v>32</v>
      </c>
      <c r="D14" s="1" t="s">
        <v>22</v>
      </c>
      <c r="E14" s="1" t="s">
        <v>16</v>
      </c>
      <c r="F14" s="1" t="s">
        <v>17</v>
      </c>
      <c r="G14" s="7">
        <v>880</v>
      </c>
      <c r="H14" s="2">
        <v>45726</v>
      </c>
      <c r="I14" t="str">
        <f t="shared" si="0"/>
        <v>2025-03</v>
      </c>
    </row>
    <row r="15" spans="1:9" x14ac:dyDescent="0.35">
      <c r="A15" s="8">
        <v>14</v>
      </c>
      <c r="B15" s="8">
        <v>105</v>
      </c>
      <c r="C15" s="1" t="s">
        <v>21</v>
      </c>
      <c r="D15" s="1" t="s">
        <v>22</v>
      </c>
      <c r="E15" s="1" t="s">
        <v>10</v>
      </c>
      <c r="F15" s="1" t="s">
        <v>11</v>
      </c>
      <c r="G15" s="7">
        <v>4100</v>
      </c>
      <c r="H15" s="2">
        <v>45728</v>
      </c>
      <c r="I15" t="str">
        <f t="shared" si="0"/>
        <v>2025-03</v>
      </c>
    </row>
    <row r="16" spans="1:9" x14ac:dyDescent="0.35">
      <c r="A16" s="8">
        <v>15</v>
      </c>
      <c r="B16" s="8">
        <v>111</v>
      </c>
      <c r="C16" s="1" t="s">
        <v>33</v>
      </c>
      <c r="D16" s="1" t="s">
        <v>26</v>
      </c>
      <c r="E16" s="1" t="s">
        <v>14</v>
      </c>
      <c r="F16" s="1" t="s">
        <v>11</v>
      </c>
      <c r="G16" s="7">
        <v>150</v>
      </c>
      <c r="H16" s="2">
        <v>45734</v>
      </c>
      <c r="I16" t="str">
        <f t="shared" si="0"/>
        <v>2025-03</v>
      </c>
    </row>
    <row r="17" spans="1:9" x14ac:dyDescent="0.35">
      <c r="A17" s="8">
        <v>16</v>
      </c>
      <c r="B17" s="8">
        <v>112</v>
      </c>
      <c r="C17" s="1" t="s">
        <v>34</v>
      </c>
      <c r="D17" s="1" t="s">
        <v>9</v>
      </c>
      <c r="E17" s="1" t="s">
        <v>20</v>
      </c>
      <c r="F17" s="1" t="s">
        <v>17</v>
      </c>
      <c r="G17" s="7">
        <v>390</v>
      </c>
      <c r="H17" s="2">
        <v>45749</v>
      </c>
      <c r="I17" t="str">
        <f t="shared" si="0"/>
        <v>2025-04</v>
      </c>
    </row>
    <row r="18" spans="1:9" x14ac:dyDescent="0.35">
      <c r="A18" s="8">
        <v>17</v>
      </c>
      <c r="B18" s="8">
        <v>101</v>
      </c>
      <c r="C18" s="1" t="s">
        <v>8</v>
      </c>
      <c r="D18" s="1" t="s">
        <v>9</v>
      </c>
      <c r="E18" s="1" t="s">
        <v>23</v>
      </c>
      <c r="F18" s="1" t="s">
        <v>11</v>
      </c>
      <c r="G18" s="7">
        <v>990</v>
      </c>
      <c r="H18" s="2">
        <v>45752</v>
      </c>
      <c r="I18" t="str">
        <f t="shared" si="0"/>
        <v>2025-04</v>
      </c>
    </row>
    <row r="19" spans="1:9" x14ac:dyDescent="0.35">
      <c r="A19" s="8">
        <v>18</v>
      </c>
      <c r="B19" s="8">
        <v>113</v>
      </c>
      <c r="C19" s="1" t="s">
        <v>35</v>
      </c>
      <c r="D19" s="1" t="s">
        <v>13</v>
      </c>
      <c r="E19" s="1" t="s">
        <v>16</v>
      </c>
      <c r="F19" s="1" t="s">
        <v>17</v>
      </c>
      <c r="G19" s="7">
        <v>970</v>
      </c>
      <c r="H19" s="2">
        <v>45758</v>
      </c>
      <c r="I19" t="str">
        <f t="shared" si="0"/>
        <v>2025-04</v>
      </c>
    </row>
    <row r="20" spans="1:9" x14ac:dyDescent="0.35">
      <c r="A20" s="8">
        <v>19</v>
      </c>
      <c r="B20" s="8">
        <v>114</v>
      </c>
      <c r="C20" s="1" t="s">
        <v>36</v>
      </c>
      <c r="D20" s="1" t="s">
        <v>19</v>
      </c>
      <c r="E20" s="1" t="s">
        <v>10</v>
      </c>
      <c r="F20" s="1" t="s">
        <v>11</v>
      </c>
      <c r="G20" s="7">
        <v>4500</v>
      </c>
      <c r="H20" s="2">
        <v>45766</v>
      </c>
      <c r="I20" t="str">
        <f t="shared" si="0"/>
        <v>2025-04</v>
      </c>
    </row>
    <row r="21" spans="1:9" x14ac:dyDescent="0.35">
      <c r="A21" s="8">
        <v>20</v>
      </c>
      <c r="B21" s="8">
        <v>115</v>
      </c>
      <c r="C21" s="1" t="s">
        <v>37</v>
      </c>
      <c r="D21" s="1" t="s">
        <v>26</v>
      </c>
      <c r="E21" s="1" t="s">
        <v>29</v>
      </c>
      <c r="F21" s="1" t="s">
        <v>17</v>
      </c>
      <c r="G21" s="7">
        <v>240</v>
      </c>
      <c r="H21" s="2">
        <v>45768</v>
      </c>
      <c r="I21" t="str">
        <f t="shared" si="0"/>
        <v>2025-04</v>
      </c>
    </row>
    <row r="22" spans="1:9" x14ac:dyDescent="0.35">
      <c r="A22" s="8">
        <v>21</v>
      </c>
      <c r="B22" s="8">
        <v>108</v>
      </c>
      <c r="C22" s="1" t="s">
        <v>28</v>
      </c>
      <c r="D22" s="1" t="s">
        <v>9</v>
      </c>
      <c r="E22" s="1" t="s">
        <v>24</v>
      </c>
      <c r="F22" s="1" t="s">
        <v>11</v>
      </c>
      <c r="G22" s="7">
        <v>300</v>
      </c>
      <c r="H22" s="2">
        <v>45781</v>
      </c>
      <c r="I22" t="str">
        <f t="shared" si="0"/>
        <v>2025-05</v>
      </c>
    </row>
    <row r="23" spans="1:9" x14ac:dyDescent="0.35">
      <c r="A23" s="8">
        <v>22</v>
      </c>
      <c r="B23" s="8">
        <v>116</v>
      </c>
      <c r="C23" s="1" t="s">
        <v>38</v>
      </c>
      <c r="D23" s="1" t="s">
        <v>22</v>
      </c>
      <c r="E23" s="1" t="s">
        <v>16</v>
      </c>
      <c r="F23" s="1" t="s">
        <v>17</v>
      </c>
      <c r="G23" s="7">
        <v>910</v>
      </c>
      <c r="H23" s="2">
        <v>45783</v>
      </c>
      <c r="I23" t="str">
        <f t="shared" si="0"/>
        <v>2025-05</v>
      </c>
    </row>
    <row r="24" spans="1:9" x14ac:dyDescent="0.35">
      <c r="A24" s="8">
        <v>23</v>
      </c>
      <c r="B24" s="8">
        <v>102</v>
      </c>
      <c r="C24" s="1" t="s">
        <v>12</v>
      </c>
      <c r="D24" s="1" t="s">
        <v>13</v>
      </c>
      <c r="E24" s="1" t="s">
        <v>23</v>
      </c>
      <c r="F24" s="1" t="s">
        <v>11</v>
      </c>
      <c r="G24" s="7">
        <v>1050</v>
      </c>
      <c r="H24" s="2">
        <v>45791</v>
      </c>
      <c r="I24" t="str">
        <f t="shared" si="0"/>
        <v>2025-05</v>
      </c>
    </row>
    <row r="25" spans="1:9" x14ac:dyDescent="0.35">
      <c r="A25" s="8">
        <v>24</v>
      </c>
      <c r="B25" s="8">
        <v>117</v>
      </c>
      <c r="C25" s="1" t="s">
        <v>39</v>
      </c>
      <c r="D25" s="1" t="s">
        <v>19</v>
      </c>
      <c r="E25" s="1" t="s">
        <v>20</v>
      </c>
      <c r="F25" s="1" t="s">
        <v>17</v>
      </c>
      <c r="G25" s="7">
        <v>410</v>
      </c>
      <c r="H25" s="2">
        <v>45795</v>
      </c>
      <c r="I25" t="str">
        <f t="shared" si="0"/>
        <v>2025-05</v>
      </c>
    </row>
    <row r="26" spans="1:9" x14ac:dyDescent="0.35">
      <c r="A26" s="8">
        <v>25</v>
      </c>
      <c r="B26" s="8">
        <v>118</v>
      </c>
      <c r="C26" s="1" t="s">
        <v>40</v>
      </c>
      <c r="D26" s="1" t="s">
        <v>26</v>
      </c>
      <c r="E26" s="1" t="s">
        <v>10</v>
      </c>
      <c r="F26" s="1" t="s">
        <v>11</v>
      </c>
      <c r="G26" s="7">
        <v>4300</v>
      </c>
      <c r="H26" s="2">
        <v>45799</v>
      </c>
      <c r="I26" t="str">
        <f t="shared" si="0"/>
        <v>2025-05</v>
      </c>
    </row>
    <row r="27" spans="1:9" x14ac:dyDescent="0.35">
      <c r="A27" s="8">
        <v>26</v>
      </c>
      <c r="B27" s="8">
        <v>119</v>
      </c>
      <c r="C27" s="1" t="s">
        <v>41</v>
      </c>
      <c r="D27" s="1" t="s">
        <v>9</v>
      </c>
      <c r="E27" s="1" t="s">
        <v>29</v>
      </c>
      <c r="F27" s="1" t="s">
        <v>17</v>
      </c>
      <c r="G27" s="7">
        <v>260</v>
      </c>
      <c r="H27" s="2">
        <v>45809</v>
      </c>
      <c r="I27" t="str">
        <f t="shared" si="0"/>
        <v>2025-06</v>
      </c>
    </row>
    <row r="28" spans="1:9" x14ac:dyDescent="0.35">
      <c r="A28" s="8">
        <v>27</v>
      </c>
      <c r="B28" s="8">
        <v>103</v>
      </c>
      <c r="C28" s="1" t="s">
        <v>15</v>
      </c>
      <c r="D28" s="1" t="s">
        <v>9</v>
      </c>
      <c r="E28" s="1" t="s">
        <v>14</v>
      </c>
      <c r="F28" s="1" t="s">
        <v>11</v>
      </c>
      <c r="G28" s="7">
        <v>130</v>
      </c>
      <c r="H28" s="2">
        <v>45815</v>
      </c>
      <c r="I28" t="str">
        <f t="shared" si="0"/>
        <v>2025-06</v>
      </c>
    </row>
    <row r="29" spans="1:9" x14ac:dyDescent="0.35">
      <c r="A29" s="8">
        <v>28</v>
      </c>
      <c r="B29" s="8">
        <v>120</v>
      </c>
      <c r="C29" s="1" t="s">
        <v>42</v>
      </c>
      <c r="D29" s="1" t="s">
        <v>13</v>
      </c>
      <c r="E29" s="1" t="s">
        <v>16</v>
      </c>
      <c r="F29" s="1" t="s">
        <v>17</v>
      </c>
      <c r="G29" s="7">
        <v>940</v>
      </c>
      <c r="H29" s="2">
        <v>45823</v>
      </c>
      <c r="I29" t="str">
        <f t="shared" si="0"/>
        <v>2025-06</v>
      </c>
    </row>
    <row r="30" spans="1:9" x14ac:dyDescent="0.35">
      <c r="A30" s="8">
        <v>29</v>
      </c>
      <c r="B30" s="8">
        <v>105</v>
      </c>
      <c r="C30" s="1" t="s">
        <v>21</v>
      </c>
      <c r="D30" s="1" t="s">
        <v>22</v>
      </c>
      <c r="E30" s="1" t="s">
        <v>30</v>
      </c>
      <c r="F30" s="1" t="s">
        <v>11</v>
      </c>
      <c r="G30" s="7">
        <v>620</v>
      </c>
      <c r="H30" s="2">
        <v>45826</v>
      </c>
      <c r="I30" t="str">
        <f t="shared" si="0"/>
        <v>2025-06</v>
      </c>
    </row>
    <row r="31" spans="1:9" x14ac:dyDescent="0.35">
      <c r="A31" s="8">
        <v>30</v>
      </c>
      <c r="B31" s="8">
        <v>121</v>
      </c>
      <c r="C31" s="1" t="s">
        <v>43</v>
      </c>
      <c r="D31" s="1" t="s">
        <v>19</v>
      </c>
      <c r="E31" s="1" t="s">
        <v>20</v>
      </c>
      <c r="F31" s="1" t="s">
        <v>17</v>
      </c>
      <c r="G31" s="7">
        <v>450</v>
      </c>
      <c r="H31" s="2">
        <v>45833</v>
      </c>
      <c r="I31" t="str">
        <f t="shared" si="0"/>
        <v>2025-06</v>
      </c>
    </row>
  </sheetData>
  <autoFilter ref="A1:H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Arkusz4</vt:lpstr>
      <vt:lpstr>Arkusz5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Meryl</dc:creator>
  <cp:lastModifiedBy>Maryla Paterek</cp:lastModifiedBy>
  <dcterms:created xsi:type="dcterms:W3CDTF">2015-06-05T18:19:34Z</dcterms:created>
  <dcterms:modified xsi:type="dcterms:W3CDTF">2026-03-30T12:09:59Z</dcterms:modified>
</cp:coreProperties>
</file>