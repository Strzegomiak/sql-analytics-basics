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jakubowski\Desktop\"/>
    </mc:Choice>
  </mc:AlternateContent>
  <xr:revisionPtr revIDLastSave="0" documentId="13_ncr:1_{53DD90F0-120B-482E-9929-B4212AC95D5C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2" r:id="rId1"/>
    <sheet name="Arkusz1" sheetId="1" r:id="rId2"/>
  </sheets>
  <definedNames>
    <definedName name="_xlnm._FilterDatabase" localSheetId="1" hidden="1">Arkusz1!$A$1:$E$11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A39" i="1"/>
  <c r="C31" i="1"/>
  <c r="B31" i="1"/>
  <c r="C32" i="1"/>
  <c r="C33" i="1"/>
  <c r="C34" i="1"/>
  <c r="C35" i="1"/>
  <c r="B32" i="1"/>
  <c r="B33" i="1"/>
  <c r="B34" i="1"/>
  <c r="B35" i="1"/>
  <c r="F22" i="1"/>
  <c r="A26" i="1"/>
  <c r="D26" i="1"/>
  <c r="C26" i="1"/>
  <c r="B26" i="1"/>
  <c r="A22" i="1"/>
  <c r="A16" i="1"/>
  <c r="A19" i="1"/>
</calcChain>
</file>

<file path=xl/sharedStrings.xml><?xml version="1.0" encoding="utf-8"?>
<sst xmlns="http://schemas.openxmlformats.org/spreadsheetml/2006/main" count="43" uniqueCount="30">
  <si>
    <t>transaction_id</t>
  </si>
  <si>
    <t>customer_id</t>
  </si>
  <si>
    <t>product</t>
  </si>
  <si>
    <t>amount</t>
  </si>
  <si>
    <t>transaction_date</t>
  </si>
  <si>
    <t>Laptop</t>
  </si>
  <si>
    <t>Mouse</t>
  </si>
  <si>
    <t>Keyboard</t>
  </si>
  <si>
    <t>Monitor</t>
  </si>
  <si>
    <t>Total revenue</t>
  </si>
  <si>
    <t>Number of transactions</t>
  </si>
  <si>
    <t>Average transaction value</t>
  </si>
  <si>
    <t>Revenue per product</t>
  </si>
  <si>
    <t xml:space="preserve"> </t>
  </si>
  <si>
    <t>laptop</t>
  </si>
  <si>
    <t>mouse</t>
  </si>
  <si>
    <t>monitor</t>
  </si>
  <si>
    <t>keyboard</t>
  </si>
  <si>
    <t>Revenue per product (inny sposób - wynik w zależności od wybranego filtra produkt)</t>
  </si>
  <si>
    <t>total_revenue</t>
  </si>
  <si>
    <t>transactions_cnt</t>
  </si>
  <si>
    <t>top_customer</t>
  </si>
  <si>
    <t>avg_revenue_per_cosutomer</t>
  </si>
  <si>
    <t>Row Labels</t>
  </si>
  <si>
    <t>Grand Total</t>
  </si>
  <si>
    <t>Sum of amount</t>
  </si>
  <si>
    <t>Count of amount2</t>
  </si>
  <si>
    <t>Column Labels</t>
  </si>
  <si>
    <t>Total Sum of amount</t>
  </si>
  <si>
    <t>Total Count of amount2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</si>
</sst>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right" vertical="center" wrapText="1"/>
    </xf>
    <xf numFmtId="14" fontId="0" fillId="2" borderId="1" xfId="0" applyNumberFormat="1" applyFill="1" applyBorder="1" applyAlignment="1">
      <alignment horizontal="right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Łukasz Jakubowski" refreshedDate="46100.53505810185" createdVersion="8" refreshedVersion="8" minRefreshableVersion="3" recordCount="8" xr:uid="{1BFDD05C-51E9-4730-911B-77F72A0BFD0E}">
  <cacheSource type="worksheet">
    <worksheetSource ref="A1:E9" sheet="Arkusz1"/>
  </cacheSource>
  <cacheFields count="5">
    <cacheField name="transaction_id" numFmtId="0">
      <sharedItems containsSemiMixedTypes="0" containsString="0" containsNumber="1" containsInteger="1" minValue="1" maxValue="8"/>
    </cacheField>
    <cacheField name="customer_id" numFmtId="0">
      <sharedItems containsSemiMixedTypes="0" containsString="0" containsNumber="1" containsInteger="1" minValue="101" maxValue="105" count="5">
        <n v="101"/>
        <n v="102"/>
        <n v="103"/>
        <n v="104"/>
        <n v="105"/>
      </sharedItems>
    </cacheField>
    <cacheField name="product" numFmtId="0">
      <sharedItems count="4">
        <s v="Laptop"/>
        <s v="Mouse"/>
        <s v="Keyboard"/>
        <s v="Monitor"/>
      </sharedItems>
    </cacheField>
    <cacheField name="amount" numFmtId="0">
      <sharedItems containsSemiMixedTypes="0" containsString="0" containsNumber="1" containsInteger="1" minValue="70" maxValue="3600"/>
    </cacheField>
    <cacheField name="transaction_date" numFmtId="14">
      <sharedItems containsSemiMixedTypes="0" containsNonDate="0" containsDate="1" containsString="0" minDate="2024-01-02T00:00:00" maxDate="2024-01-2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x v="0"/>
    <x v="0"/>
    <n v="3500"/>
    <d v="2024-01-02T00:00:00"/>
  </r>
  <r>
    <n v="2"/>
    <x v="1"/>
    <x v="1"/>
    <n v="80"/>
    <d v="2024-01-03T00:00:00"/>
  </r>
  <r>
    <n v="3"/>
    <x v="0"/>
    <x v="2"/>
    <n v="200"/>
    <d v="2024-01-05T00:00:00"/>
  </r>
  <r>
    <n v="4"/>
    <x v="2"/>
    <x v="0"/>
    <n v="3600"/>
    <d v="2024-01-10T00:00:00"/>
  </r>
  <r>
    <n v="5"/>
    <x v="3"/>
    <x v="3"/>
    <n v="900"/>
    <d v="2024-01-11T00:00:00"/>
  </r>
  <r>
    <n v="6"/>
    <x v="1"/>
    <x v="0"/>
    <n v="3400"/>
    <d v="2024-01-15T00:00:00"/>
  </r>
  <r>
    <n v="7"/>
    <x v="4"/>
    <x v="1"/>
    <n v="70"/>
    <d v="2024-01-17T00:00:00"/>
  </r>
  <r>
    <n v="8"/>
    <x v="0"/>
    <x v="3"/>
    <n v="850"/>
    <d v="2024-01-2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0F36E-3577-4497-A3A1-21217786251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1" firstHeaderRow="1" firstDataRow="3" firstDataCol="1"/>
  <pivotFields count="5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5">
        <item x="2"/>
        <item x="0"/>
        <item x="3"/>
        <item x="1"/>
        <item t="default"/>
      </items>
    </pivotField>
    <pivotField dataField="1" showAll="0"/>
    <pivotField numFmtId="1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-2"/>
    <field x="2"/>
  </colFields>
  <colItems count="10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t="grand">
      <x/>
    </i>
    <i t="grand" i="1">
      <x/>
    </i>
  </colItems>
  <dataFields count="2">
    <dataField name="Sum of amount" fld="3" baseField="1" baseItem="0"/>
    <dataField name="Count of amount2" fld="3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5FDE-0225-4665-BA13-FB921B6E8A54}">
  <dimension ref="A3:K11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7" bestFit="1" customWidth="1"/>
    <col min="4" max="4" width="8.28515625" bestFit="1" customWidth="1"/>
    <col min="5" max="5" width="7.140625" bestFit="1" customWidth="1"/>
    <col min="6" max="6" width="17" bestFit="1" customWidth="1"/>
    <col min="7" max="7" width="7" bestFit="1" customWidth="1"/>
    <col min="8" max="8" width="8.28515625" bestFit="1" customWidth="1"/>
    <col min="9" max="9" width="7.140625" bestFit="1" customWidth="1"/>
    <col min="10" max="10" width="19.5703125" bestFit="1" customWidth="1"/>
    <col min="11" max="11" width="22.140625" bestFit="1" customWidth="1"/>
  </cols>
  <sheetData>
    <row r="3" spans="1:11" x14ac:dyDescent="0.25">
      <c r="B3" s="7" t="s">
        <v>27</v>
      </c>
    </row>
    <row r="4" spans="1:11" x14ac:dyDescent="0.25">
      <c r="B4" t="s">
        <v>25</v>
      </c>
      <c r="F4" t="s">
        <v>26</v>
      </c>
      <c r="J4" t="s">
        <v>28</v>
      </c>
      <c r="K4" t="s">
        <v>29</v>
      </c>
    </row>
    <row r="5" spans="1:11" x14ac:dyDescent="0.25">
      <c r="A5" s="7" t="s">
        <v>23</v>
      </c>
      <c r="B5" t="s">
        <v>7</v>
      </c>
      <c r="C5" t="s">
        <v>5</v>
      </c>
      <c r="D5" t="s">
        <v>8</v>
      </c>
      <c r="E5" t="s">
        <v>6</v>
      </c>
      <c r="F5" t="s">
        <v>7</v>
      </c>
      <c r="G5" t="s">
        <v>5</v>
      </c>
      <c r="H5" t="s">
        <v>8</v>
      </c>
      <c r="I5" t="s">
        <v>6</v>
      </c>
    </row>
    <row r="6" spans="1:11" x14ac:dyDescent="0.25">
      <c r="A6" s="8">
        <v>101</v>
      </c>
      <c r="B6" s="9">
        <v>200</v>
      </c>
      <c r="C6" s="9">
        <v>3500</v>
      </c>
      <c r="D6" s="9">
        <v>850</v>
      </c>
      <c r="E6" s="9"/>
      <c r="F6" s="9">
        <v>1</v>
      </c>
      <c r="G6" s="9">
        <v>1</v>
      </c>
      <c r="H6" s="9">
        <v>1</v>
      </c>
      <c r="I6" s="9"/>
      <c r="J6" s="9">
        <v>4550</v>
      </c>
      <c r="K6" s="9">
        <v>3</v>
      </c>
    </row>
    <row r="7" spans="1:11" x14ac:dyDescent="0.25">
      <c r="A7" s="8">
        <v>102</v>
      </c>
      <c r="B7" s="9"/>
      <c r="C7" s="9">
        <v>3400</v>
      </c>
      <c r="D7" s="9"/>
      <c r="E7" s="9">
        <v>80</v>
      </c>
      <c r="F7" s="9"/>
      <c r="G7" s="9">
        <v>1</v>
      </c>
      <c r="H7" s="9"/>
      <c r="I7" s="9">
        <v>1</v>
      </c>
      <c r="J7" s="9">
        <v>3480</v>
      </c>
      <c r="K7" s="9">
        <v>2</v>
      </c>
    </row>
    <row r="8" spans="1:11" x14ac:dyDescent="0.25">
      <c r="A8" s="8">
        <v>103</v>
      </c>
      <c r="B8" s="9"/>
      <c r="C8" s="9">
        <v>3600</v>
      </c>
      <c r="D8" s="9"/>
      <c r="E8" s="9"/>
      <c r="F8" s="9"/>
      <c r="G8" s="9">
        <v>1</v>
      </c>
      <c r="H8" s="9"/>
      <c r="I8" s="9"/>
      <c r="J8" s="9">
        <v>3600</v>
      </c>
      <c r="K8" s="9">
        <v>1</v>
      </c>
    </row>
    <row r="9" spans="1:11" x14ac:dyDescent="0.25">
      <c r="A9" s="8">
        <v>104</v>
      </c>
      <c r="B9" s="9"/>
      <c r="C9" s="9"/>
      <c r="D9" s="9">
        <v>900</v>
      </c>
      <c r="E9" s="9"/>
      <c r="F9" s="9"/>
      <c r="G9" s="9"/>
      <c r="H9" s="9">
        <v>1</v>
      </c>
      <c r="I9" s="9"/>
      <c r="J9" s="9">
        <v>900</v>
      </c>
      <c r="K9" s="9">
        <v>1</v>
      </c>
    </row>
    <row r="10" spans="1:11" x14ac:dyDescent="0.25">
      <c r="A10" s="8">
        <v>105</v>
      </c>
      <c r="B10" s="9"/>
      <c r="C10" s="9"/>
      <c r="D10" s="9"/>
      <c r="E10" s="9">
        <v>70</v>
      </c>
      <c r="F10" s="9"/>
      <c r="G10" s="9"/>
      <c r="H10" s="9"/>
      <c r="I10" s="9">
        <v>1</v>
      </c>
      <c r="J10" s="9">
        <v>70</v>
      </c>
      <c r="K10" s="9">
        <v>1</v>
      </c>
    </row>
    <row r="11" spans="1:11" x14ac:dyDescent="0.25">
      <c r="A11" s="8" t="s">
        <v>24</v>
      </c>
      <c r="B11" s="9">
        <v>200</v>
      </c>
      <c r="C11" s="9">
        <v>10500</v>
      </c>
      <c r="D11" s="9">
        <v>1750</v>
      </c>
      <c r="E11" s="9">
        <v>150</v>
      </c>
      <c r="F11" s="9">
        <v>1</v>
      </c>
      <c r="G11" s="9">
        <v>3</v>
      </c>
      <c r="H11" s="9">
        <v>2</v>
      </c>
      <c r="I11" s="9">
        <v>2</v>
      </c>
      <c r="J11" s="9">
        <v>12600</v>
      </c>
      <c r="K11" s="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zoomScaleNormal="100" workbookViewId="0">
      <selection activeCell="C13" sqref="C13"/>
    </sheetView>
  </sheetViews>
  <sheetFormatPr defaultRowHeight="15" x14ac:dyDescent="0.25"/>
  <cols>
    <col min="1" max="5" width="23.7109375" style="1" customWidth="1"/>
    <col min="6" max="10" width="26.5703125" style="1" customWidth="1"/>
    <col min="11" max="16384" width="9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1</v>
      </c>
      <c r="B2" s="3">
        <v>101</v>
      </c>
      <c r="C2" s="3" t="s">
        <v>5</v>
      </c>
      <c r="D2" s="3">
        <v>3500</v>
      </c>
      <c r="E2" s="4">
        <v>45293</v>
      </c>
    </row>
    <row r="3" spans="1:5" x14ac:dyDescent="0.25">
      <c r="A3" s="3">
        <v>2</v>
      </c>
      <c r="B3" s="3">
        <v>102</v>
      </c>
      <c r="C3" s="3" t="s">
        <v>6</v>
      </c>
      <c r="D3" s="3">
        <v>80</v>
      </c>
      <c r="E3" s="4">
        <v>45294</v>
      </c>
    </row>
    <row r="4" spans="1:5" x14ac:dyDescent="0.25">
      <c r="A4" s="3">
        <v>3</v>
      </c>
      <c r="B4" s="3">
        <v>101</v>
      </c>
      <c r="C4" s="3" t="s">
        <v>7</v>
      </c>
      <c r="D4" s="3">
        <v>200</v>
      </c>
      <c r="E4" s="4">
        <v>45296</v>
      </c>
    </row>
    <row r="5" spans="1:5" x14ac:dyDescent="0.25">
      <c r="A5" s="3">
        <v>4</v>
      </c>
      <c r="B5" s="3">
        <v>103</v>
      </c>
      <c r="C5" s="3" t="s">
        <v>5</v>
      </c>
      <c r="D5" s="3">
        <v>3600</v>
      </c>
      <c r="E5" s="4">
        <v>45301</v>
      </c>
    </row>
    <row r="6" spans="1:5" x14ac:dyDescent="0.25">
      <c r="A6" s="3">
        <v>5</v>
      </c>
      <c r="B6" s="3">
        <v>104</v>
      </c>
      <c r="C6" s="3" t="s">
        <v>8</v>
      </c>
      <c r="D6" s="3">
        <v>900</v>
      </c>
      <c r="E6" s="4">
        <v>45302</v>
      </c>
    </row>
    <row r="7" spans="1:5" x14ac:dyDescent="0.25">
      <c r="A7" s="3">
        <v>6</v>
      </c>
      <c r="B7" s="3">
        <v>102</v>
      </c>
      <c r="C7" s="3" t="s">
        <v>5</v>
      </c>
      <c r="D7" s="3">
        <v>3400</v>
      </c>
      <c r="E7" s="4">
        <v>45306</v>
      </c>
    </row>
    <row r="8" spans="1:5" x14ac:dyDescent="0.25">
      <c r="A8" s="3">
        <v>7</v>
      </c>
      <c r="B8" s="3">
        <v>105</v>
      </c>
      <c r="C8" s="3" t="s">
        <v>6</v>
      </c>
      <c r="D8" s="3">
        <v>70</v>
      </c>
      <c r="E8" s="4">
        <v>45308</v>
      </c>
    </row>
    <row r="9" spans="1:5" x14ac:dyDescent="0.25">
      <c r="A9" s="3">
        <v>8</v>
      </c>
      <c r="B9" s="3">
        <v>101</v>
      </c>
      <c r="C9" s="3" t="s">
        <v>8</v>
      </c>
      <c r="D9" s="3">
        <v>850</v>
      </c>
      <c r="E9" s="4">
        <v>45311</v>
      </c>
    </row>
    <row r="10" spans="1:5" x14ac:dyDescent="0.25">
      <c r="C10" s="1" t="s">
        <v>13</v>
      </c>
    </row>
    <row r="15" spans="1:5" x14ac:dyDescent="0.25">
      <c r="A15" s="1" t="s">
        <v>9</v>
      </c>
    </row>
    <row r="16" spans="1:5" x14ac:dyDescent="0.25">
      <c r="A16" s="1">
        <f>SUM(D2:D9)</f>
        <v>12600</v>
      </c>
    </row>
    <row r="18" spans="1:6" x14ac:dyDescent="0.25">
      <c r="A18" s="5" t="s">
        <v>11</v>
      </c>
    </row>
    <row r="19" spans="1:6" x14ac:dyDescent="0.25">
      <c r="A19" s="1">
        <f>AVERAGE(D2:D9)</f>
        <v>1575</v>
      </c>
    </row>
    <row r="21" spans="1:6" x14ac:dyDescent="0.25">
      <c r="A21" s="1" t="s">
        <v>10</v>
      </c>
      <c r="F21" s="1" t="s">
        <v>18</v>
      </c>
    </row>
    <row r="22" spans="1:6" x14ac:dyDescent="0.25">
      <c r="A22" s="1">
        <f>COUNT(A2:A9)</f>
        <v>8</v>
      </c>
      <c r="F22" s="1">
        <f>SUBTOTAL(9,D2:D9)</f>
        <v>12600</v>
      </c>
    </row>
    <row r="24" spans="1:6" x14ac:dyDescent="0.25">
      <c r="A24" s="1" t="s">
        <v>12</v>
      </c>
    </row>
    <row r="25" spans="1:6" x14ac:dyDescent="0.25">
      <c r="A25" s="1" t="s">
        <v>14</v>
      </c>
      <c r="B25" s="1" t="s">
        <v>15</v>
      </c>
      <c r="C25" s="1" t="s">
        <v>16</v>
      </c>
      <c r="D25" s="1" t="s">
        <v>17</v>
      </c>
    </row>
    <row r="26" spans="1:6" x14ac:dyDescent="0.25">
      <c r="A26" s="1">
        <f>SUMIF($C$2:$C$9,"Laptop",$D$2:$D$9)</f>
        <v>10500</v>
      </c>
      <c r="B26" s="1">
        <f>SUMIF($C$2:$C$9,C3,$D$2:$D$9)</f>
        <v>150</v>
      </c>
      <c r="C26" s="1">
        <f>SUMIF($C$2:$C$9,C6,$D$2:$D$9)</f>
        <v>1750</v>
      </c>
      <c r="D26" s="1">
        <f>SUMIF($C$2:$C$9,C4,$D$2:$D$9)</f>
        <v>200</v>
      </c>
    </row>
    <row r="30" spans="1:6" x14ac:dyDescent="0.25">
      <c r="A30" s="2" t="s">
        <v>1</v>
      </c>
      <c r="B30" s="2" t="s">
        <v>19</v>
      </c>
      <c r="C30" s="6" t="s">
        <v>20</v>
      </c>
    </row>
    <row r="31" spans="1:6" x14ac:dyDescent="0.25">
      <c r="A31" s="3">
        <v>101</v>
      </c>
      <c r="B31" s="1">
        <f>SUMIF($B$2:$B$9,A31,$D$2:$D$9)</f>
        <v>4550</v>
      </c>
      <c r="C31" s="1">
        <f>COUNTIF($B$2:$B$9,A31)</f>
        <v>3</v>
      </c>
    </row>
    <row r="32" spans="1:6" x14ac:dyDescent="0.25">
      <c r="A32" s="3">
        <v>102</v>
      </c>
      <c r="B32" s="1">
        <f t="shared" ref="B32:B35" si="0">SUMIF($B$2:$B$9,A32,$D$2:$D$9)</f>
        <v>3480</v>
      </c>
      <c r="C32" s="1">
        <f t="shared" ref="C32:C35" si="1">COUNTIF($B$2:$B$9,A32)</f>
        <v>2</v>
      </c>
    </row>
    <row r="33" spans="1:3" x14ac:dyDescent="0.25">
      <c r="A33" s="3">
        <v>103</v>
      </c>
      <c r="B33" s="1">
        <f t="shared" si="0"/>
        <v>3600</v>
      </c>
      <c r="C33" s="1">
        <f t="shared" si="1"/>
        <v>1</v>
      </c>
    </row>
    <row r="34" spans="1:3" x14ac:dyDescent="0.25">
      <c r="A34" s="3">
        <v>104</v>
      </c>
      <c r="B34" s="1">
        <f t="shared" si="0"/>
        <v>900</v>
      </c>
      <c r="C34" s="1">
        <f t="shared" si="1"/>
        <v>1</v>
      </c>
    </row>
    <row r="35" spans="1:3" x14ac:dyDescent="0.25">
      <c r="A35" s="3">
        <v>105</v>
      </c>
      <c r="B35" s="1">
        <f t="shared" si="0"/>
        <v>70</v>
      </c>
      <c r="C35" s="1">
        <f t="shared" si="1"/>
        <v>1</v>
      </c>
    </row>
    <row r="36" spans="1:3" x14ac:dyDescent="0.25">
      <c r="A36" s="3"/>
    </row>
    <row r="37" spans="1:3" x14ac:dyDescent="0.25">
      <c r="A37" s="3"/>
    </row>
    <row r="38" spans="1:3" x14ac:dyDescent="0.25">
      <c r="A38" s="3" t="s">
        <v>21</v>
      </c>
      <c r="B38" s="1" t="s">
        <v>22</v>
      </c>
    </row>
    <row r="39" spans="1:3" x14ac:dyDescent="0.25">
      <c r="A39" s="1">
        <f>MAX(B31:B35)</f>
        <v>4550</v>
      </c>
      <c r="B39" s="1">
        <f>AVERAGE(B31:B35)</f>
        <v>2520</v>
      </c>
    </row>
  </sheetData>
  <autoFilter ref="A1:E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Jakubowski</dc:creator>
  <cp:lastModifiedBy>Łukasz Jakubowski</cp:lastModifiedBy>
  <dcterms:created xsi:type="dcterms:W3CDTF">2015-06-05T18:19:34Z</dcterms:created>
  <dcterms:modified xsi:type="dcterms:W3CDTF">2026-03-19T12:13:40Z</dcterms:modified>
</cp:coreProperties>
</file>