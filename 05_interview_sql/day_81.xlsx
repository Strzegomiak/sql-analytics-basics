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jakubowski\Desktop\"/>
    </mc:Choice>
  </mc:AlternateContent>
  <xr:revisionPtr revIDLastSave="0" documentId="13_ncr:1_{443194A2-D302-4CC1-A285-AD9431A448C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  <c r="F2" i="1"/>
  <c r="F4" i="1"/>
  <c r="F5" i="1"/>
  <c r="F6" i="1"/>
  <c r="F7" i="1"/>
  <c r="F8" i="1"/>
  <c r="F3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<sst xmlns="http://schemas.openxmlformats.org/spreadsheetml/2006/main" count="22" uniqueCount="20">
  <si>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transaction_id</t>
  </si>
  <si>
    <t>customer_id</t>
  </si>
  <si>
    <t>amount</t>
  </si>
  <si>
    <t>customer_name</t>
  </si>
  <si>
    <t>Anna</t>
  </si>
  <si>
    <t>Jan</t>
  </si>
  <si>
    <t>Kasia</t>
  </si>
  <si>
    <t>Piotr</t>
  </si>
  <si>
    <t>Marek</t>
  </si>
  <si>
    <t>amount separator tyś</t>
  </si>
  <si>
    <t>amount format waluty</t>
  </si>
  <si>
    <t>transaction_date</t>
  </si>
  <si>
    <t>month</t>
  </si>
  <si>
    <t>year</t>
  </si>
  <si>
    <t>Row Labels</t>
  </si>
  <si>
    <t>Grand Total</t>
  </si>
  <si>
    <t>Sum of amount</t>
  </si>
  <si>
    <t>sty</t>
  </si>
  <si>
    <t>lut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</si>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</sst>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43" formatCode="_-* #,##0.00_-;\-* #,##0.00_-;_-* &quot;-&quot;??_-;_-@_-"/>
    <numFmt numFmtId="171" formatCode="[$₿]\ #,##0.000000" x16r2:formatCode16="[$₿-x-xbt2]\ #,##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2" fontId="0" fillId="0" borderId="0" xfId="0" applyNumberFormat="1"/>
    <xf numFmtId="43" fontId="0" fillId="0" borderId="0" xfId="1" applyFont="1" applyAlignment="1">
      <alignment horizontal="right"/>
    </xf>
    <xf numFmtId="171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horizontal="right"/>
    </xf>
    <xf numFmtId="0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Jakubowski" refreshedDate="46101.539783680557" createdVersion="8" refreshedVersion="8" minRefreshableVersion="3" recordCount="7" xr:uid="{E04012BF-4F25-4962-8A62-09895BBC660C}">
  <cacheSource type="worksheet">
    <worksheetSource ref="A1:G8" sheet="Sheet1"/>
  </cacheSource>
  <cacheFields count="7">
    <cacheField name="transaction_id" numFmtId="0">
      <sharedItems containsSemiMixedTypes="0" containsString="0" containsNumber="1" containsInteger="1" minValue="1" maxValue="7"/>
    </cacheField>
    <cacheField name="customer_id" numFmtId="0">
      <sharedItems containsSemiMixedTypes="0" containsString="0" containsNumber="1" containsInteger="1" minValue="101" maxValue="105" count="5">
        <n v="101"/>
        <n v="102"/>
        <n v="103"/>
        <n v="104"/>
        <n v="105"/>
      </sharedItems>
    </cacheField>
    <cacheField name="amount" numFmtId="0">
      <sharedItems containsSemiMixedTypes="0" containsString="0" containsNumber="1" containsInteger="1" minValue="50" maxValue="700" count="7">
        <n v="250"/>
        <n v="400"/>
        <n v="150"/>
        <n v="300"/>
        <n v="500"/>
        <n v="50"/>
        <n v="700"/>
      </sharedItems>
    </cacheField>
    <cacheField name="customer_name" numFmtId="0">
      <sharedItems count="5">
        <s v="Anna"/>
        <s v="Jan"/>
        <s v="Kasia"/>
        <s v="Piotr"/>
        <s v="Marek"/>
      </sharedItems>
    </cacheField>
    <cacheField name="transaction_date" numFmtId="14">
      <sharedItems containsSemiMixedTypes="0" containsNonDate="0" containsDate="1" containsString="0" minDate="2024-01-15T00:00:00" maxDate="2024-03-13T00:00:00"/>
    </cacheField>
    <cacheField name="month" numFmtId="0">
      <sharedItems count="3">
        <s v="sty"/>
        <s v="lut"/>
        <s v="mar"/>
      </sharedItems>
    </cacheField>
    <cacheField name="year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x v="0"/>
    <x v="0"/>
    <d v="2024-01-15T00:00:00"/>
    <x v="0"/>
    <n v="2024"/>
  </r>
  <r>
    <n v="2"/>
    <x v="1"/>
    <x v="1"/>
    <x v="1"/>
    <d v="2024-02-10T00:00:00"/>
    <x v="1"/>
    <n v="2024"/>
  </r>
  <r>
    <n v="3"/>
    <x v="2"/>
    <x v="2"/>
    <x v="2"/>
    <d v="2024-03-05T00:00:00"/>
    <x v="2"/>
    <n v="2024"/>
  </r>
  <r>
    <n v="4"/>
    <x v="0"/>
    <x v="3"/>
    <x v="0"/>
    <d v="2024-01-20T00:00:00"/>
    <x v="0"/>
    <n v="2024"/>
  </r>
  <r>
    <n v="5"/>
    <x v="3"/>
    <x v="4"/>
    <x v="3"/>
    <d v="2024-02-25T00:00:00"/>
    <x v="1"/>
    <n v="2024"/>
  </r>
  <r>
    <n v="6"/>
    <x v="4"/>
    <x v="5"/>
    <x v="4"/>
    <d v="2024-03-12T00:00:00"/>
    <x v="2"/>
    <n v="2024"/>
  </r>
  <r>
    <n v="7"/>
    <x v="1"/>
    <x v="6"/>
    <x v="1"/>
    <d v="2024-01-30T00:00:00"/>
    <x v="0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B1B5E-80B7-4486-B415-AC43E3E257B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showAll="0"/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8">
        <item x="5"/>
        <item x="2"/>
        <item x="0"/>
        <item x="3"/>
        <item x="1"/>
        <item x="4"/>
        <item x="6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numFmtId="14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8088-F6C1-42CF-8773-03BF47CD2047}">
  <dimension ref="A3:B7"/>
  <sheetViews>
    <sheetView tabSelected="1"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14.5703125" bestFit="1" customWidth="1"/>
    <col min="3" max="8" width="4" bestFit="1" customWidth="1"/>
    <col min="9" max="9" width="11.28515625" bestFit="1" customWidth="1"/>
  </cols>
  <sheetData>
    <row r="3" spans="1:2" x14ac:dyDescent="0.25">
      <c r="A3" s="11" t="s">
        <v>14</v>
      </c>
      <c r="B3" t="s">
        <v>16</v>
      </c>
    </row>
    <row r="4" spans="1:2" x14ac:dyDescent="0.25">
      <c r="A4" s="12" t="s">
        <v>17</v>
      </c>
      <c r="B4" s="9">
        <v>1250</v>
      </c>
    </row>
    <row r="5" spans="1:2" x14ac:dyDescent="0.25">
      <c r="A5" s="12" t="s">
        <v>18</v>
      </c>
      <c r="B5" s="9">
        <v>900</v>
      </c>
    </row>
    <row r="6" spans="1:2" x14ac:dyDescent="0.25">
      <c r="A6" s="12" t="s">
        <v>19</v>
      </c>
      <c r="B6" s="9">
        <v>200</v>
      </c>
    </row>
    <row r="7" spans="1:2" x14ac:dyDescent="0.25">
      <c r="A7" s="12" t="s">
        <v>15</v>
      </c>
      <c r="B7" s="9">
        <v>2350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sqref="A1:G8"/>
    </sheetView>
  </sheetViews>
  <sheetFormatPr defaultRowHeight="15" x14ac:dyDescent="0.25"/>
  <cols>
    <col min="1" max="7" width="19.85546875" customWidth="1"/>
  </cols>
  <sheetData>
    <row r="1" spans="1:15" x14ac:dyDescent="0.25">
      <c r="A1" s="1" t="s">
        <v>0</v>
      </c>
      <c r="B1" t="s">
        <v>1</v>
      </c>
      <c r="C1" t="s">
        <v>2</v>
      </c>
      <c r="D1" s="3" t="s">
        <v>3</v>
      </c>
      <c r="E1" s="9" t="s">
        <v>11</v>
      </c>
      <c r="F1" s="9" t="s">
        <v>12</v>
      </c>
      <c r="G1" s="9" t="s">
        <v>13</v>
      </c>
      <c r="N1" t="s">
        <v>1</v>
      </c>
      <c r="O1" t="s">
        <v>3</v>
      </c>
    </row>
    <row r="2" spans="1:15" x14ac:dyDescent="0.25">
      <c r="A2" s="2">
        <v>1</v>
      </c>
      <c r="B2" s="2">
        <v>101</v>
      </c>
      <c r="C2" s="2">
        <v>250</v>
      </c>
      <c r="D2" s="2" t="str" cm="1">
        <f t="array" ref="D2:D8">_xlfn.XLOOKUP(B2:B8,N2:N6,O2:O6)</f>
        <v>Anna</v>
      </c>
      <c r="E2" s="10">
        <v>45306</v>
      </c>
      <c r="F2" s="2" t="str">
        <f>TEXT(E2,"mmm")</f>
        <v>sty</v>
      </c>
      <c r="G2" s="2">
        <f>YEAR(E2)</f>
        <v>2024</v>
      </c>
      <c r="N2" s="2">
        <v>101</v>
      </c>
      <c r="O2" s="2" t="s">
        <v>4</v>
      </c>
    </row>
    <row r="3" spans="1:15" x14ac:dyDescent="0.25">
      <c r="A3" s="2">
        <v>2</v>
      </c>
      <c r="B3" s="2">
        <v>102</v>
      </c>
      <c r="C3" s="2">
        <v>400</v>
      </c>
      <c r="D3" s="2" t="str">
        <v>Jan</v>
      </c>
      <c r="E3" s="10">
        <v>45332</v>
      </c>
      <c r="F3" s="2" t="str">
        <f>TEXT(E3,"mmm")</f>
        <v>lut</v>
      </c>
      <c r="G3" s="2">
        <f>YEAR(E3)</f>
        <v>2024</v>
      </c>
      <c r="N3" s="2">
        <v>102</v>
      </c>
      <c r="O3" s="2" t="s">
        <v>5</v>
      </c>
    </row>
    <row r="4" spans="1:15" x14ac:dyDescent="0.25">
      <c r="A4" s="2">
        <v>3</v>
      </c>
      <c r="B4" s="2">
        <v>103</v>
      </c>
      <c r="C4" s="2">
        <v>150</v>
      </c>
      <c r="D4" s="2" t="str">
        <v>Kasia</v>
      </c>
      <c r="E4" s="10">
        <v>45356</v>
      </c>
      <c r="F4" s="2" t="str">
        <f>TEXT(E4,"mmm")</f>
        <v>mar</v>
      </c>
      <c r="G4" s="2">
        <f>YEAR(E4)</f>
        <v>2024</v>
      </c>
      <c r="N4" s="2">
        <v>103</v>
      </c>
      <c r="O4" s="2" t="s">
        <v>6</v>
      </c>
    </row>
    <row r="5" spans="1:15" x14ac:dyDescent="0.25">
      <c r="A5" s="2">
        <v>4</v>
      </c>
      <c r="B5" s="2">
        <v>101</v>
      </c>
      <c r="C5" s="2">
        <v>300</v>
      </c>
      <c r="D5" s="2" t="str">
        <v>Anna</v>
      </c>
      <c r="E5" s="10">
        <v>45311</v>
      </c>
      <c r="F5" s="2" t="str">
        <f>TEXT(E5,"mmm")</f>
        <v>sty</v>
      </c>
      <c r="G5" s="2">
        <f>YEAR(E5)</f>
        <v>2024</v>
      </c>
      <c r="N5" s="2">
        <v>104</v>
      </c>
      <c r="O5" s="2" t="s">
        <v>7</v>
      </c>
    </row>
    <row r="6" spans="1:15" x14ac:dyDescent="0.25">
      <c r="A6" s="2">
        <v>5</v>
      </c>
      <c r="B6" s="2">
        <v>104</v>
      </c>
      <c r="C6" s="2">
        <v>500</v>
      </c>
      <c r="D6" s="2" t="str">
        <v>Piotr</v>
      </c>
      <c r="E6" s="10">
        <v>45347</v>
      </c>
      <c r="F6" s="2" t="str">
        <f>TEXT(E6,"mmm")</f>
        <v>lut</v>
      </c>
      <c r="G6" s="2">
        <f>YEAR(E6)</f>
        <v>2024</v>
      </c>
      <c r="N6" s="2">
        <v>105</v>
      </c>
      <c r="O6" s="2" t="s">
        <v>8</v>
      </c>
    </row>
    <row r="7" spans="1:15" x14ac:dyDescent="0.25">
      <c r="A7" s="2">
        <v>6</v>
      </c>
      <c r="B7" s="2">
        <v>105</v>
      </c>
      <c r="C7" s="2">
        <v>50</v>
      </c>
      <c r="D7" s="2" t="str">
        <v>Marek</v>
      </c>
      <c r="E7" s="10">
        <v>45363</v>
      </c>
      <c r="F7" s="2" t="str">
        <f>TEXT(E7,"mmm")</f>
        <v>mar</v>
      </c>
      <c r="G7" s="2">
        <f>YEAR(E7)</f>
        <v>2024</v>
      </c>
      <c r="N7" s="2"/>
      <c r="O7" s="2"/>
    </row>
    <row r="8" spans="1:15" x14ac:dyDescent="0.25">
      <c r="A8" s="2">
        <v>7</v>
      </c>
      <c r="B8" s="2">
        <v>102</v>
      </c>
      <c r="C8" s="2">
        <v>700</v>
      </c>
      <c r="D8" s="2" t="str">
        <v>Jan</v>
      </c>
      <c r="E8" s="10">
        <v>45321</v>
      </c>
      <c r="F8" s="2" t="str">
        <f>TEXT(E8,"mmm")</f>
        <v>sty</v>
      </c>
      <c r="G8" s="2">
        <f>YEAR(E8)</f>
        <v>2024</v>
      </c>
    </row>
    <row r="9" spans="1:15" x14ac:dyDescent="0.25">
      <c r="A9" s="2"/>
      <c r="B9" s="2"/>
      <c r="C9" s="2"/>
      <c r="D9" s="2"/>
      <c r="E9" s="2"/>
      <c r="F9" s="2"/>
    </row>
    <row r="10" spans="1:15" x14ac:dyDescent="0.25">
      <c r="A10" s="2"/>
      <c r="B10" s="2"/>
      <c r="C10" s="2"/>
      <c r="D10" s="2"/>
      <c r="E10" s="2"/>
      <c r="F10" s="2"/>
    </row>
    <row r="11" spans="1:15" x14ac:dyDescent="0.25">
      <c r="A11" s="2"/>
      <c r="B11" s="2"/>
      <c r="C11" s="2"/>
      <c r="D11" s="2"/>
      <c r="E11" s="2"/>
      <c r="F11" s="2"/>
    </row>
    <row r="12" spans="1:15" x14ac:dyDescent="0.25">
      <c r="A12" s="2"/>
      <c r="B12" s="2"/>
      <c r="C12" s="2"/>
      <c r="D12" s="2"/>
      <c r="E12" s="2"/>
      <c r="F12" s="2"/>
    </row>
    <row r="15" spans="1:15" x14ac:dyDescent="0.25">
      <c r="C15" s="4" t="s">
        <v>9</v>
      </c>
      <c r="D15" s="4"/>
      <c r="E15" s="7" t="s">
        <v>10</v>
      </c>
    </row>
    <row r="16" spans="1:15" x14ac:dyDescent="0.25">
      <c r="C16" s="5">
        <v>250000</v>
      </c>
      <c r="D16" s="5"/>
      <c r="E16" s="8">
        <v>250</v>
      </c>
    </row>
    <row r="17" spans="3:6" x14ac:dyDescent="0.25">
      <c r="C17" s="5">
        <v>400</v>
      </c>
      <c r="D17" s="5"/>
      <c r="E17" s="8">
        <v>400</v>
      </c>
      <c r="F17" s="7"/>
    </row>
    <row r="18" spans="3:6" x14ac:dyDescent="0.25">
      <c r="C18" s="5">
        <v>150</v>
      </c>
      <c r="D18" s="5"/>
      <c r="E18" s="8">
        <v>150</v>
      </c>
    </row>
    <row r="19" spans="3:6" x14ac:dyDescent="0.25">
      <c r="C19" s="5">
        <v>300</v>
      </c>
      <c r="D19" s="5"/>
      <c r="E19" s="8">
        <v>300</v>
      </c>
    </row>
    <row r="20" spans="3:6" x14ac:dyDescent="0.25">
      <c r="C20" s="5">
        <v>500</v>
      </c>
      <c r="D20" s="5"/>
      <c r="E20" s="8">
        <v>500</v>
      </c>
    </row>
    <row r="21" spans="3:6" x14ac:dyDescent="0.25">
      <c r="C21" s="5">
        <v>50</v>
      </c>
      <c r="D21" s="5"/>
      <c r="E21" s="8">
        <v>50</v>
      </c>
    </row>
    <row r="22" spans="3:6" x14ac:dyDescent="0.25">
      <c r="C22" s="5">
        <v>700</v>
      </c>
      <c r="D22" s="5"/>
      <c r="E22" s="8">
        <v>700</v>
      </c>
    </row>
    <row r="23" spans="3:6" x14ac:dyDescent="0.25">
      <c r="E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Jakubowski</dc:creator>
  <cp:lastModifiedBy>Łukasz Jakubowski</cp:lastModifiedBy>
  <dcterms:created xsi:type="dcterms:W3CDTF">2015-06-05T18:17:20Z</dcterms:created>
  <dcterms:modified xsi:type="dcterms:W3CDTF">2026-03-20T11:59:36Z</dcterms:modified>
</cp:coreProperties>
</file>