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ljakubowski\Desktop\"/>
    </mc:Choice>
  </mc:AlternateContent>
  <xr:revisionPtr revIDLastSave="0" documentId="13_ncr:1_{F5A88981-C5E2-4169-945E-32FD863A962B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2" sheetId="2" r:id="rId1"/>
    <sheet name="Sheet1" sheetId="1" r:id="rId2"/>
  </sheets>
  <definedNames>
    <definedName name="_xlnm._FilterDatabase" localSheetId="1" hidden="1">Sheet1!$A$27:$E$37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C42" i="1"/>
  <c r="E42" i="1"/>
  <c r="D42" i="1"/>
  <c r="D20" i="1"/>
  <c r="D22" i="1" s="1"/>
  <c r="D17" i="1"/>
  <c r="D14" i="1"/>
</calcChain>
</file>

<file path=xl/sharedStrings.xml><?xml version="1.0" encoding="utf-8"?>
<sst xmlns="http://schemas.openxmlformats.org/spreadsheetml/2006/main" count="50" uniqueCount="25">
  <si>
    <t>transaction_id</t>
  </si>
  <si>
    <t>customer_id</t>
  </si>
  <si>
    <t>product</t>
  </si>
  <si>
    <t>amount</t>
  </si>
  <si>
    <t>transaction_date</t>
  </si>
  <si>
    <t>Laptop</t>
  </si>
  <si>
    <t>mouse</t>
  </si>
  <si>
    <t>Keyboard</t>
  </si>
  <si>
    <t>Monitor</t>
  </si>
  <si>
    <t>Mouse</t>
  </si>
  <si>
    <t>total_revenue</t>
  </si>
  <si>
    <t>count all amount</t>
  </si>
  <si>
    <t>count not good amount</t>
  </si>
  <si>
    <t>percent not good to all [%]</t>
  </si>
  <si>
    <t>Ctrl + Shift + U</t>
  </si>
  <si>
    <t>daje pełny widok na pasek funkcji</t>
  </si>
  <si>
    <t>Ctrl + Shift + ↓</t>
  </si>
  <si>
    <t>zanacza kolumne do końca danych</t>
  </si>
  <si>
    <t>laptop</t>
  </si>
  <si>
    <t>monitor</t>
  </si>
  <si>
    <t>Row Labels</t>
  </si>
  <si>
    <t>Grand Total</t>
  </si>
  <si>
    <t>Sum of amount</t>
  </si>
  <si>
    <t>counta liczy wszystko co nie jest puste</t>
  </si>
  <si>
    <t>count tylko liczby, daty i czas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</si>
</sst>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horizontal="right" vertical="center" wrapText="1"/>
    </xf>
    <xf numFmtId="14" fontId="0" fillId="0" borderId="0" xfId="0" applyNumberFormat="1" applyAlignment="1">
      <alignment horizontal="right"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Łukasz Jakubowski" refreshedDate="46100.610485648147" createdVersion="8" refreshedVersion="8" minRefreshableVersion="3" recordCount="10" xr:uid="{FE69FEC2-D9FE-4901-8523-F81BDA7AE202}">
  <cacheSource type="worksheet">
    <worksheetSource ref="A27:E37" sheet="Sheet1"/>
  </cacheSource>
  <cacheFields count="5">
    <cacheField name="transaction_id" numFmtId="0">
      <sharedItems containsSemiMixedTypes="0" containsString="0" containsNumber="1" containsInteger="1" minValue="1" maxValue="10"/>
    </cacheField>
    <cacheField name="customer_id" numFmtId="0">
      <sharedItems containsSemiMixedTypes="0" containsString="0" containsNumber="1" containsInteger="1" minValue="101" maxValue="107"/>
    </cacheField>
    <cacheField name="product" numFmtId="0">
      <sharedItems count="4">
        <s v="Laptop"/>
        <s v="Mouse"/>
        <s v="Keyboard"/>
        <s v="Monitor"/>
      </sharedItems>
    </cacheField>
    <cacheField name="amount" numFmtId="0">
      <sharedItems containsSemiMixedTypes="0" containsString="0" containsNumber="1" containsInteger="1" minValue="-50" maxValue="3600"/>
    </cacheField>
    <cacheField name="transaction_date" numFmtId="14">
      <sharedItems containsSemiMixedTypes="0" containsNonDate="0" containsDate="1" containsString="0" minDate="2024-01-02T00:00:00" maxDate="2024-01-24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n v="101"/>
    <x v="0"/>
    <n v="3500"/>
    <d v="2024-01-02T00:00:00"/>
  </r>
  <r>
    <n v="2"/>
    <n v="102"/>
    <x v="1"/>
    <n v="80"/>
    <d v="2024-01-03T00:00:00"/>
  </r>
  <r>
    <n v="3"/>
    <n v="101"/>
    <x v="2"/>
    <n v="200"/>
    <d v="2024-01-05T00:00:00"/>
  </r>
  <r>
    <n v="4"/>
    <n v="103"/>
    <x v="0"/>
    <n v="3600"/>
    <d v="2024-01-10T00:00:00"/>
  </r>
  <r>
    <n v="5"/>
    <n v="104"/>
    <x v="3"/>
    <n v="900"/>
    <d v="2024-01-11T00:00:00"/>
  </r>
  <r>
    <n v="6"/>
    <n v="102"/>
    <x v="0"/>
    <n v="3400"/>
    <d v="2024-01-15T00:00:00"/>
  </r>
  <r>
    <n v="7"/>
    <n v="105"/>
    <x v="1"/>
    <n v="70"/>
    <d v="2024-01-17T00:00:00"/>
  </r>
  <r>
    <n v="8"/>
    <n v="101"/>
    <x v="3"/>
    <n v="850"/>
    <d v="2024-01-20T00:00:00"/>
  </r>
  <r>
    <n v="9"/>
    <n v="106"/>
    <x v="0"/>
    <n v="0"/>
    <d v="2024-01-22T00:00:00"/>
  </r>
  <r>
    <n v="10"/>
    <n v="107"/>
    <x v="1"/>
    <n v="-50"/>
    <d v="2024-01-2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89CAEE-8FD9-4C53-81C3-034CBED4571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dataField="1" showAll="0"/>
    <pivotField numFmtId="14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7D29-52E4-47E5-AC46-0C11A054474C}">
  <dimension ref="A3:B8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4.5703125" bestFit="1" customWidth="1"/>
  </cols>
  <sheetData>
    <row r="3" spans="1:2" x14ac:dyDescent="0.25">
      <c r="A3" s="6" t="s">
        <v>20</v>
      </c>
      <c r="B3" t="s">
        <v>22</v>
      </c>
    </row>
    <row r="4" spans="1:2" x14ac:dyDescent="0.25">
      <c r="A4" s="7" t="s">
        <v>7</v>
      </c>
      <c r="B4">
        <v>200</v>
      </c>
    </row>
    <row r="5" spans="1:2" x14ac:dyDescent="0.25">
      <c r="A5" s="7" t="s">
        <v>5</v>
      </c>
      <c r="B5">
        <v>10500</v>
      </c>
    </row>
    <row r="6" spans="1:2" x14ac:dyDescent="0.25">
      <c r="A6" s="7" t="s">
        <v>8</v>
      </c>
      <c r="B6">
        <v>1750</v>
      </c>
    </row>
    <row r="7" spans="1:2" x14ac:dyDescent="0.25">
      <c r="A7" s="7" t="s">
        <v>9</v>
      </c>
      <c r="B7">
        <v>100</v>
      </c>
    </row>
    <row r="8" spans="1:2" x14ac:dyDescent="0.25">
      <c r="A8" s="7" t="s">
        <v>21</v>
      </c>
      <c r="B8">
        <v>12550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tabSelected="1" topLeftCell="A22" workbookViewId="0">
      <selection activeCell="E35" sqref="E35"/>
    </sheetView>
  </sheetViews>
  <sheetFormatPr defaultRowHeight="15" x14ac:dyDescent="0.25"/>
  <cols>
    <col min="1" max="5" width="23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4">
        <v>1</v>
      </c>
      <c r="B2" s="4">
        <v>101</v>
      </c>
      <c r="C2" s="4" t="s">
        <v>5</v>
      </c>
      <c r="D2" s="4">
        <v>3500</v>
      </c>
      <c r="E2" s="5">
        <v>45293</v>
      </c>
    </row>
    <row r="3" spans="1:5" x14ac:dyDescent="0.25">
      <c r="A3" s="4">
        <v>2</v>
      </c>
      <c r="B3" s="4">
        <v>102</v>
      </c>
      <c r="C3" s="4" t="s">
        <v>9</v>
      </c>
      <c r="D3" s="4">
        <v>80</v>
      </c>
      <c r="E3" s="5">
        <v>45294</v>
      </c>
    </row>
    <row r="4" spans="1:5" x14ac:dyDescent="0.25">
      <c r="A4" s="4">
        <v>3</v>
      </c>
      <c r="B4" s="4">
        <v>101</v>
      </c>
      <c r="C4" s="4" t="s">
        <v>7</v>
      </c>
      <c r="D4" s="4">
        <v>200</v>
      </c>
      <c r="E4" s="5">
        <v>45296</v>
      </c>
    </row>
    <row r="5" spans="1:5" x14ac:dyDescent="0.25">
      <c r="A5" s="4">
        <v>4</v>
      </c>
      <c r="B5" s="4">
        <v>103</v>
      </c>
      <c r="C5" s="4" t="s">
        <v>5</v>
      </c>
      <c r="D5" s="4">
        <v>3600</v>
      </c>
      <c r="E5" s="5">
        <v>45301</v>
      </c>
    </row>
    <row r="6" spans="1:5" x14ac:dyDescent="0.25">
      <c r="A6" s="4">
        <v>5</v>
      </c>
      <c r="B6" s="4">
        <v>104</v>
      </c>
      <c r="C6" s="4" t="s">
        <v>8</v>
      </c>
      <c r="D6" s="4">
        <v>900</v>
      </c>
      <c r="E6" s="5">
        <v>45302</v>
      </c>
    </row>
    <row r="7" spans="1:5" x14ac:dyDescent="0.25">
      <c r="A7" s="4">
        <v>6</v>
      </c>
      <c r="B7" s="4">
        <v>102</v>
      </c>
      <c r="C7" s="4" t="s">
        <v>5</v>
      </c>
      <c r="D7" s="4">
        <v>3400</v>
      </c>
      <c r="E7" s="5">
        <v>45306</v>
      </c>
    </row>
    <row r="8" spans="1:5" x14ac:dyDescent="0.25">
      <c r="A8" s="4">
        <v>7</v>
      </c>
      <c r="B8" s="4">
        <v>105</v>
      </c>
      <c r="C8" s="4" t="s">
        <v>9</v>
      </c>
      <c r="D8" s="4">
        <v>70</v>
      </c>
      <c r="E8" s="5">
        <v>45308</v>
      </c>
    </row>
    <row r="9" spans="1:5" x14ac:dyDescent="0.25">
      <c r="A9" s="4">
        <v>8</v>
      </c>
      <c r="B9" s="4">
        <v>101</v>
      </c>
      <c r="C9" s="4" t="s">
        <v>8</v>
      </c>
      <c r="D9" s="4">
        <v>850</v>
      </c>
      <c r="E9" s="5">
        <v>45311</v>
      </c>
    </row>
    <row r="10" spans="1:5" x14ac:dyDescent="0.25">
      <c r="A10" s="2">
        <v>10</v>
      </c>
      <c r="B10" s="2">
        <v>106</v>
      </c>
      <c r="C10" s="2" t="s">
        <v>5</v>
      </c>
      <c r="D10" s="2">
        <v>0</v>
      </c>
      <c r="E10" s="3">
        <v>45313</v>
      </c>
    </row>
    <row r="11" spans="1:5" x14ac:dyDescent="0.25">
      <c r="A11" s="2">
        <v>11</v>
      </c>
      <c r="B11" s="2">
        <v>107</v>
      </c>
      <c r="C11" s="2" t="s">
        <v>9</v>
      </c>
      <c r="D11" s="2">
        <v>-50</v>
      </c>
      <c r="E11" s="3">
        <v>45314</v>
      </c>
    </row>
    <row r="12" spans="1:5" x14ac:dyDescent="0.25">
      <c r="A12" s="2"/>
      <c r="B12" s="2"/>
      <c r="C12" s="2"/>
      <c r="D12" s="2"/>
      <c r="E12" s="3"/>
    </row>
    <row r="13" spans="1:5" x14ac:dyDescent="0.25">
      <c r="D13" t="s">
        <v>10</v>
      </c>
    </row>
    <row r="14" spans="1:5" x14ac:dyDescent="0.25">
      <c r="D14">
        <f>SUM(D2:D11)</f>
        <v>12550</v>
      </c>
    </row>
    <row r="16" spans="1:5" x14ac:dyDescent="0.25">
      <c r="D16" t="s">
        <v>11</v>
      </c>
    </row>
    <row r="17" spans="1:9" x14ac:dyDescent="0.25">
      <c r="D17">
        <f>COUNTA(D2:D11)</f>
        <v>10</v>
      </c>
    </row>
    <row r="18" spans="1:9" x14ac:dyDescent="0.25">
      <c r="H18" t="s">
        <v>14</v>
      </c>
    </row>
    <row r="19" spans="1:9" x14ac:dyDescent="0.25">
      <c r="D19" t="s">
        <v>12</v>
      </c>
      <c r="H19" t="s">
        <v>15</v>
      </c>
    </row>
    <row r="20" spans="1:9" x14ac:dyDescent="0.25">
      <c r="D20">
        <f>COUNTIF(D2:D11,0)
+ COUNTIF(D2:D11,"&lt;0")
+ COUNTBLANK(D2:D11)</f>
        <v>2</v>
      </c>
    </row>
    <row r="21" spans="1:9" x14ac:dyDescent="0.25">
      <c r="D21" t="s">
        <v>13</v>
      </c>
    </row>
    <row r="22" spans="1:9" x14ac:dyDescent="0.25">
      <c r="D22">
        <f>100 * D20/D17</f>
        <v>20</v>
      </c>
    </row>
    <row r="27" spans="1:9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4</v>
      </c>
    </row>
    <row r="28" spans="1:9" x14ac:dyDescent="0.25">
      <c r="A28" s="4">
        <v>1</v>
      </c>
      <c r="B28" s="4">
        <v>101</v>
      </c>
      <c r="C28" s="4" t="s">
        <v>5</v>
      </c>
      <c r="D28" s="4">
        <v>3500</v>
      </c>
      <c r="E28" s="5">
        <v>45293</v>
      </c>
    </row>
    <row r="29" spans="1:9" x14ac:dyDescent="0.25">
      <c r="A29" s="4">
        <v>2</v>
      </c>
      <c r="B29" s="4">
        <v>102</v>
      </c>
      <c r="C29" s="4" t="s">
        <v>9</v>
      </c>
      <c r="D29" s="4">
        <v>80</v>
      </c>
      <c r="E29" s="5">
        <v>45294</v>
      </c>
    </row>
    <row r="30" spans="1:9" x14ac:dyDescent="0.25">
      <c r="A30" s="4">
        <v>3</v>
      </c>
      <c r="B30" s="4">
        <v>101</v>
      </c>
      <c r="C30" s="4" t="s">
        <v>7</v>
      </c>
      <c r="D30" s="4">
        <v>200</v>
      </c>
      <c r="E30" s="5">
        <v>45296</v>
      </c>
      <c r="I30" t="s">
        <v>23</v>
      </c>
    </row>
    <row r="31" spans="1:9" x14ac:dyDescent="0.25">
      <c r="A31" s="4">
        <v>4</v>
      </c>
      <c r="B31" s="4">
        <v>103</v>
      </c>
      <c r="C31" s="4" t="s">
        <v>5</v>
      </c>
      <c r="D31" s="4">
        <v>3600</v>
      </c>
      <c r="E31" s="5">
        <v>45301</v>
      </c>
      <c r="I31" t="s">
        <v>24</v>
      </c>
    </row>
    <row r="32" spans="1:9" x14ac:dyDescent="0.25">
      <c r="A32" s="4">
        <v>5</v>
      </c>
      <c r="B32" s="4">
        <v>104</v>
      </c>
      <c r="C32" s="4" t="s">
        <v>8</v>
      </c>
      <c r="D32" s="4">
        <v>900</v>
      </c>
      <c r="E32" s="5">
        <v>45302</v>
      </c>
    </row>
    <row r="33" spans="1:10" x14ac:dyDescent="0.25">
      <c r="A33" s="4">
        <v>6</v>
      </c>
      <c r="B33" s="4">
        <v>102</v>
      </c>
      <c r="C33" s="4" t="s">
        <v>5</v>
      </c>
      <c r="D33" s="4">
        <v>3400</v>
      </c>
      <c r="E33" s="5">
        <v>45306</v>
      </c>
    </row>
    <row r="34" spans="1:10" x14ac:dyDescent="0.25">
      <c r="A34" s="4">
        <v>7</v>
      </c>
      <c r="B34" s="4">
        <v>105</v>
      </c>
      <c r="C34" s="4" t="s">
        <v>9</v>
      </c>
      <c r="D34" s="4">
        <v>70</v>
      </c>
      <c r="E34" s="5">
        <v>45308</v>
      </c>
    </row>
    <row r="35" spans="1:10" x14ac:dyDescent="0.25">
      <c r="A35" s="4">
        <v>8</v>
      </c>
      <c r="B35" s="4">
        <v>101</v>
      </c>
      <c r="C35" s="4" t="s">
        <v>8</v>
      </c>
      <c r="D35" s="4">
        <v>850</v>
      </c>
      <c r="E35" s="5">
        <v>45311</v>
      </c>
      <c r="J35" t="s">
        <v>16</v>
      </c>
    </row>
    <row r="36" spans="1:10" x14ac:dyDescent="0.25">
      <c r="A36" s="4">
        <v>9</v>
      </c>
      <c r="B36" s="4">
        <v>106</v>
      </c>
      <c r="C36" s="4" t="s">
        <v>5</v>
      </c>
      <c r="D36" s="4">
        <v>0</v>
      </c>
      <c r="E36" s="5">
        <v>45313</v>
      </c>
      <c r="J36" t="s">
        <v>17</v>
      </c>
    </row>
    <row r="37" spans="1:10" x14ac:dyDescent="0.25">
      <c r="A37" s="4">
        <v>10</v>
      </c>
      <c r="B37" s="4">
        <v>107</v>
      </c>
      <c r="C37" s="4" t="s">
        <v>9</v>
      </c>
      <c r="D37" s="4">
        <v>-50</v>
      </c>
      <c r="E37" s="5">
        <v>45314</v>
      </c>
    </row>
    <row r="41" spans="1:10" x14ac:dyDescent="0.25">
      <c r="C41" t="s">
        <v>18</v>
      </c>
      <c r="D41" t="s">
        <v>6</v>
      </c>
      <c r="E41" t="s">
        <v>19</v>
      </c>
    </row>
    <row r="42" spans="1:10" x14ac:dyDescent="0.25">
      <c r="C42">
        <f>SUMIF($C$28:$C$37,C28,$D$28:$D$37)</f>
        <v>10500</v>
      </c>
      <c r="D42">
        <f>SUMIF($C$28:$C$37,C29,$D$28:$D$37)</f>
        <v>100</v>
      </c>
      <c r="E42">
        <f>SUMIF($C$28:$C$37,C32,$D$28:$D$37)</f>
        <v>1750</v>
      </c>
    </row>
    <row r="45" spans="1:10" x14ac:dyDescent="0.25">
      <c r="C45">
        <f>MAX(C42:E42)</f>
        <v>10500</v>
      </c>
    </row>
  </sheetData>
  <autoFilter ref="A27:E37" xr:uid="{00000000-0001-0000-0000-000000000000}">
    <sortState xmlns:xlrd2="http://schemas.microsoft.com/office/spreadsheetml/2017/richdata2" ref="A28:E37">
      <sortCondition ref="A27:A37"/>
    </sortState>
  </autoFilter>
  <conditionalFormatting sqref="D28:D37">
    <cfRule type="cellIs" dxfId="1" priority="1" operator="equal">
      <formula>0</formula>
    </cfRule>
    <cfRule type="cellIs" dxfId="0" priority="2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Łukasz Jakubowski</dc:creator>
  <cp:lastModifiedBy>Łukasz Jakubowski</cp:lastModifiedBy>
  <dcterms:created xsi:type="dcterms:W3CDTF">2015-06-05T18:17:20Z</dcterms:created>
  <dcterms:modified xsi:type="dcterms:W3CDTF">2026-03-21T18:28:50Z</dcterms:modified>
</cp:coreProperties>
</file>